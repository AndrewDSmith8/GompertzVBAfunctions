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alina\Documents\Research\PIDR\Mortality\"/>
    </mc:Choice>
  </mc:AlternateContent>
  <xr:revisionPtr revIDLastSave="0" documentId="13_ncr:1_{EBB92BF8-A980-4FFE-AD09-40D55DA211D6}" xr6:coauthVersionLast="47" xr6:coauthVersionMax="47" xr10:uidLastSave="{00000000-0000-0000-0000-000000000000}"/>
  <bookViews>
    <workbookView xWindow="-108" yWindow="-108" windowWidth="23256" windowHeight="12456" xr2:uid="{CCAC1896-E6D1-4061-90F5-385AD2D500A1}"/>
  </bookViews>
  <sheets>
    <sheet name="ReadMe" sheetId="17" r:id="rId1"/>
    <sheet name="GompDensPic" sheetId="4" r:id="rId2"/>
    <sheet name="LorenzCurvePic" sheetId="5" r:id="rId3"/>
    <sheet name="MomentShapes" sheetId="10" r:id="rId4"/>
    <sheet name="LMomentShapes" sheetId="13" r:id="rId5"/>
    <sheet name="GompCross1" sheetId="14" r:id="rId6"/>
    <sheet name="GompCross2" sheetId="16" r:id="rId7"/>
    <sheet name="GompCross3" sheetId="15" r:id="rId8"/>
    <sheet name="FatiguePic" sheetId="19" r:id="rId9"/>
    <sheet name="DensLorenzDat" sheetId="3" r:id="rId10"/>
    <sheet name="CrossDat" sheetId="9" r:id="rId11"/>
    <sheet name="AG2024" sheetId="18" r:id="rId12"/>
    <sheet name="ImpliedParas" sheetId="20" r:id="rId13"/>
  </sheets>
  <functionGroups builtInGroupCount="19"/>
  <definedNames>
    <definedName name="_xleta.SKEW" hidden="1" xlm="1">#NAME?</definedName>
    <definedName name="_xleta.VLOOKUP" hidden="1" xlm="1">#NAME?</definedName>
    <definedName name="CriticalPointList">CrossDat!$AE$10:$AG$37</definedName>
    <definedName name="EulerMasc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9" l="1"/>
  <c r="I10" i="9"/>
  <c r="A50" i="20"/>
  <c r="A51" i="20" s="1"/>
  <c r="A52" i="20" s="1"/>
  <c r="A53" i="20" s="1"/>
  <c r="A54" i="20" s="1"/>
  <c r="A55" i="20" s="1"/>
  <c r="A56" i="20" s="1"/>
  <c r="A57" i="20" s="1"/>
  <c r="A58" i="20" s="1"/>
  <c r="A59" i="20" s="1"/>
  <c r="A37" i="20"/>
  <c r="A38" i="20" s="1"/>
  <c r="A39" i="20" s="1"/>
  <c r="A40" i="20" s="1"/>
  <c r="A41" i="20" s="1"/>
  <c r="A42" i="20" s="1"/>
  <c r="A43" i="20" s="1"/>
  <c r="A44" i="20" s="1"/>
  <c r="A45" i="20" s="1"/>
  <c r="A36" i="20"/>
  <c r="A22" i="20"/>
  <c r="A23" i="20" s="1"/>
  <c r="A24" i="20" s="1"/>
  <c r="A25" i="20" s="1"/>
  <c r="A26" i="20" s="1"/>
  <c r="A27" i="20" s="1"/>
  <c r="A28" i="20" s="1"/>
  <c r="A29" i="20" s="1"/>
  <c r="A30" i="20" s="1"/>
  <c r="A31" i="20" s="1"/>
  <c r="I17" i="20" a="1"/>
  <c r="I17" i="20" s="1"/>
  <c r="M16" i="20" a="1"/>
  <c r="M16" i="20" s="1"/>
  <c r="L16" i="20" a="1"/>
  <c r="L16" i="20" s="1"/>
  <c r="K16" i="20" a="1"/>
  <c r="K16" i="20" s="1"/>
  <c r="L14" i="20" a="1"/>
  <c r="L14" i="20" s="1"/>
  <c r="K14" i="20" a="1"/>
  <c r="K14" i="20" s="1"/>
  <c r="J14" i="20" a="1"/>
  <c r="J14" i="20" s="1"/>
  <c r="I14" i="20" a="1"/>
  <c r="I14" i="20" s="1"/>
  <c r="J12" i="20" a="1"/>
  <c r="J12" i="20" s="1"/>
  <c r="M11" i="20" a="1"/>
  <c r="M11" i="20" s="1"/>
  <c r="L11" i="20" a="1"/>
  <c r="L11" i="20" s="1"/>
  <c r="K11" i="20" a="1"/>
  <c r="K11" i="20" s="1"/>
  <c r="L8" i="20" a="1"/>
  <c r="L8" i="20" s="1"/>
  <c r="L7" i="20" a="1"/>
  <c r="L7" i="20" s="1"/>
  <c r="M7" i="20" a="1"/>
  <c r="M7" i="20" s="1"/>
  <c r="F17" i="20" a="1"/>
  <c r="F17" i="20" s="1"/>
  <c r="E15" i="20" a="1"/>
  <c r="E15" i="20" s="1"/>
  <c r="D15" i="20" a="1"/>
  <c r="D15" i="20" s="1"/>
  <c r="C15" i="20" a="1"/>
  <c r="C15" i="20" s="1"/>
  <c r="F14" i="20" a="1"/>
  <c r="F14" i="20" s="1"/>
  <c r="E12" i="20" a="1"/>
  <c r="E12" i="20" s="1"/>
  <c r="D12" i="20" a="1"/>
  <c r="D12" i="20" s="1"/>
  <c r="F11" i="20" a="1"/>
  <c r="F11" i="20" s="1"/>
  <c r="E11" i="20" a="1"/>
  <c r="E11" i="20" s="1"/>
  <c r="F7" i="20" a="1"/>
  <c r="F7" i="20" s="1"/>
  <c r="G17" i="20" a="1"/>
  <c r="G17" i="20" s="1"/>
  <c r="G16" i="20" a="1"/>
  <c r="G16" i="20" s="1"/>
  <c r="G9" i="20" a="1"/>
  <c r="G9" i="20" s="1"/>
  <c r="G8" i="20" a="1"/>
  <c r="G8" i="20" s="1"/>
  <c r="G7" i="20" a="1"/>
  <c r="G7" i="20" s="1"/>
  <c r="P12" i="20" a="1"/>
  <c r="P12" i="20" s="1"/>
  <c r="O16" i="20" a="1"/>
  <c r="O16" i="20" s="1"/>
  <c r="O15" i="20" a="1"/>
  <c r="O15" i="20" s="1"/>
  <c r="P17" i="20" a="1"/>
  <c r="P17" i="20" s="1"/>
  <c r="P16" i="20" a="1"/>
  <c r="P16" i="20" s="1"/>
  <c r="Q14" i="20" a="1"/>
  <c r="Q14" i="20" s="1"/>
  <c r="Q13" i="20" a="1"/>
  <c r="Q13" i="20" s="1"/>
  <c r="Q12" i="20" a="1"/>
  <c r="Q12" i="20" s="1"/>
  <c r="Q11" i="20" a="1"/>
  <c r="Q11" i="20" s="1"/>
  <c r="R11" i="20" a="1"/>
  <c r="R11" i="20" s="1"/>
  <c r="R10" i="20" a="1"/>
  <c r="R10" i="20" s="1"/>
  <c r="R9" i="20" a="1"/>
  <c r="R9" i="20" s="1"/>
  <c r="R8" i="20" a="1"/>
  <c r="R8" i="20" s="1"/>
  <c r="R7" i="20" a="1"/>
  <c r="R7" i="20" s="1"/>
  <c r="S10" i="20" a="1"/>
  <c r="S10" i="20" s="1"/>
  <c r="S9" i="20" a="1"/>
  <c r="S9" i="20" s="1"/>
  <c r="S8" i="20" a="1"/>
  <c r="S8" i="20" s="1"/>
  <c r="S7" i="20" a="1"/>
  <c r="S7" i="20" s="1"/>
  <c r="A9" i="20"/>
  <c r="A10" i="20" s="1"/>
  <c r="A11" i="20" s="1"/>
  <c r="A12" i="20" s="1"/>
  <c r="A13" i="20" s="1"/>
  <c r="A14" i="20" s="1"/>
  <c r="A15" i="20" s="1"/>
  <c r="A16" i="20" s="1"/>
  <c r="A17" i="20" s="1"/>
  <c r="E17" i="20" s="1" a="1"/>
  <c r="E17" i="20" s="1"/>
  <c r="A8" i="20"/>
  <c r="F8" i="20" s="1" a="1"/>
  <c r="F8" i="20" s="1"/>
  <c r="BC130" i="18"/>
  <c r="BB130" i="18"/>
  <c r="BA130" i="18"/>
  <c r="AZ130" i="18"/>
  <c r="AY130" i="18"/>
  <c r="BC129" i="18"/>
  <c r="BB129" i="18"/>
  <c r="BA129" i="18"/>
  <c r="AZ129" i="18"/>
  <c r="AY129" i="18"/>
  <c r="BC128" i="18"/>
  <c r="BB128" i="18"/>
  <c r="BA128" i="18"/>
  <c r="AZ128" i="18"/>
  <c r="AY128" i="18"/>
  <c r="BC127" i="18"/>
  <c r="BB127" i="18"/>
  <c r="BA127" i="18"/>
  <c r="AZ127" i="18"/>
  <c r="AY127" i="18"/>
  <c r="BC126" i="18"/>
  <c r="BB126" i="18"/>
  <c r="BA126" i="18"/>
  <c r="AZ126" i="18"/>
  <c r="AY126" i="18"/>
  <c r="BC125" i="18"/>
  <c r="BB125" i="18"/>
  <c r="BA125" i="18"/>
  <c r="AZ125" i="18"/>
  <c r="AY125" i="18"/>
  <c r="BC124" i="18"/>
  <c r="BB124" i="18"/>
  <c r="BA124" i="18"/>
  <c r="AZ124" i="18"/>
  <c r="AY124" i="18"/>
  <c r="BC123" i="18"/>
  <c r="BB123" i="18"/>
  <c r="BA123" i="18"/>
  <c r="AZ123" i="18"/>
  <c r="AY123" i="18"/>
  <c r="BC122" i="18"/>
  <c r="BB122" i="18"/>
  <c r="BA122" i="18"/>
  <c r="AZ122" i="18"/>
  <c r="AY122" i="18"/>
  <c r="BC121" i="18"/>
  <c r="BB121" i="18"/>
  <c r="BA121" i="18"/>
  <c r="AZ121" i="18"/>
  <c r="AY121" i="18"/>
  <c r="BC120" i="18"/>
  <c r="BB120" i="18"/>
  <c r="BA120" i="18"/>
  <c r="AZ120" i="18"/>
  <c r="AY120" i="18"/>
  <c r="BC119" i="18"/>
  <c r="BB119" i="18"/>
  <c r="BA119" i="18"/>
  <c r="AZ119" i="18"/>
  <c r="AY119" i="18"/>
  <c r="BC118" i="18"/>
  <c r="BB118" i="18"/>
  <c r="BA118" i="18"/>
  <c r="AZ118" i="18"/>
  <c r="AY118" i="18"/>
  <c r="BC117" i="18"/>
  <c r="BB117" i="18"/>
  <c r="BA117" i="18"/>
  <c r="AZ117" i="18"/>
  <c r="AY117" i="18"/>
  <c r="BC116" i="18"/>
  <c r="BB116" i="18"/>
  <c r="BA116" i="18"/>
  <c r="AZ116" i="18"/>
  <c r="AY116" i="18"/>
  <c r="BC115" i="18"/>
  <c r="BB115" i="18"/>
  <c r="BA115" i="18"/>
  <c r="AZ115" i="18"/>
  <c r="AY115" i="18"/>
  <c r="BC114" i="18"/>
  <c r="BB114" i="18"/>
  <c r="BA114" i="18"/>
  <c r="AZ114" i="18"/>
  <c r="AY114" i="18"/>
  <c r="BC113" i="18"/>
  <c r="BB113" i="18"/>
  <c r="BA113" i="18"/>
  <c r="AZ113" i="18"/>
  <c r="AY113" i="18"/>
  <c r="BC112" i="18"/>
  <c r="BB112" i="18"/>
  <c r="BA112" i="18"/>
  <c r="AZ112" i="18"/>
  <c r="AY112" i="18"/>
  <c r="BC111" i="18"/>
  <c r="BB111" i="18"/>
  <c r="BA111" i="18"/>
  <c r="AZ111" i="18"/>
  <c r="AY111" i="18"/>
  <c r="BC110" i="18"/>
  <c r="BB110" i="18"/>
  <c r="BA110" i="18"/>
  <c r="AZ110" i="18"/>
  <c r="AY110" i="18"/>
  <c r="BC109" i="18"/>
  <c r="BB109" i="18"/>
  <c r="BA109" i="18"/>
  <c r="AZ109" i="18"/>
  <c r="AY109" i="18"/>
  <c r="BC108" i="18"/>
  <c r="BB108" i="18"/>
  <c r="BA108" i="18"/>
  <c r="AZ108" i="18"/>
  <c r="AY108" i="18"/>
  <c r="BC107" i="18"/>
  <c r="BB107" i="18"/>
  <c r="BA107" i="18"/>
  <c r="AZ107" i="18"/>
  <c r="AY107" i="18"/>
  <c r="BC106" i="18"/>
  <c r="BB106" i="18"/>
  <c r="BA106" i="18"/>
  <c r="AZ106" i="18"/>
  <c r="AY106" i="18"/>
  <c r="BC105" i="18"/>
  <c r="BB105" i="18"/>
  <c r="BA105" i="18"/>
  <c r="AZ105" i="18"/>
  <c r="AY105" i="18"/>
  <c r="BC104" i="18"/>
  <c r="BB104" i="18"/>
  <c r="BA104" i="18"/>
  <c r="AZ104" i="18"/>
  <c r="AY104" i="18"/>
  <c r="BC103" i="18"/>
  <c r="BB103" i="18"/>
  <c r="BA103" i="18"/>
  <c r="AZ103" i="18"/>
  <c r="AY103" i="18"/>
  <c r="BC102" i="18"/>
  <c r="BB102" i="18"/>
  <c r="BA102" i="18"/>
  <c r="AZ102" i="18"/>
  <c r="AY102" i="18"/>
  <c r="BC101" i="18"/>
  <c r="BB101" i="18"/>
  <c r="BA101" i="18"/>
  <c r="AZ101" i="18"/>
  <c r="AY101" i="18"/>
  <c r="BC100" i="18"/>
  <c r="BB100" i="18"/>
  <c r="BA100" i="18"/>
  <c r="AZ100" i="18"/>
  <c r="AY100" i="18"/>
  <c r="BC99" i="18"/>
  <c r="BB99" i="18"/>
  <c r="BA99" i="18"/>
  <c r="AZ99" i="18"/>
  <c r="AY99" i="18"/>
  <c r="BC98" i="18"/>
  <c r="BB98" i="18"/>
  <c r="BA98" i="18"/>
  <c r="AZ98" i="18"/>
  <c r="AY98" i="18"/>
  <c r="BC97" i="18"/>
  <c r="BB97" i="18"/>
  <c r="BA97" i="18"/>
  <c r="AZ97" i="18"/>
  <c r="AY97" i="18"/>
  <c r="BC96" i="18"/>
  <c r="BB96" i="18"/>
  <c r="BA96" i="18"/>
  <c r="AZ96" i="18"/>
  <c r="AY96" i="18"/>
  <c r="BC95" i="18"/>
  <c r="BB95" i="18"/>
  <c r="BA95" i="18"/>
  <c r="AZ95" i="18"/>
  <c r="AY95" i="18"/>
  <c r="BC94" i="18"/>
  <c r="BB94" i="18"/>
  <c r="BA94" i="18"/>
  <c r="AZ94" i="18"/>
  <c r="AY94" i="18"/>
  <c r="BC93" i="18"/>
  <c r="BB93" i="18"/>
  <c r="BA93" i="18"/>
  <c r="AZ93" i="18"/>
  <c r="AY93" i="18"/>
  <c r="BC92" i="18"/>
  <c r="BB92" i="18"/>
  <c r="BA92" i="18"/>
  <c r="AZ92" i="18"/>
  <c r="AY92" i="18"/>
  <c r="BC91" i="18"/>
  <c r="BB91" i="18"/>
  <c r="BA91" i="18"/>
  <c r="AZ91" i="18"/>
  <c r="AY91" i="18"/>
  <c r="BC90" i="18"/>
  <c r="BB90" i="18"/>
  <c r="BA90" i="18"/>
  <c r="AZ90" i="18"/>
  <c r="AY90" i="18"/>
  <c r="BC89" i="18"/>
  <c r="BB89" i="18"/>
  <c r="BA89" i="18"/>
  <c r="AZ89" i="18"/>
  <c r="AY89" i="18"/>
  <c r="BC88" i="18"/>
  <c r="BB88" i="18"/>
  <c r="BA88" i="18"/>
  <c r="AZ88" i="18"/>
  <c r="AY88" i="18"/>
  <c r="BC87" i="18"/>
  <c r="BB87" i="18"/>
  <c r="BA87" i="18"/>
  <c r="AZ87" i="18"/>
  <c r="AY87" i="18"/>
  <c r="BC86" i="18"/>
  <c r="BB86" i="18"/>
  <c r="BA86" i="18"/>
  <c r="AZ86" i="18"/>
  <c r="AY86" i="18"/>
  <c r="BC85" i="18"/>
  <c r="BB85" i="18"/>
  <c r="BA85" i="18"/>
  <c r="AZ85" i="18"/>
  <c r="AY85" i="18"/>
  <c r="BC84" i="18"/>
  <c r="BB84" i="18"/>
  <c r="BA84" i="18"/>
  <c r="AZ84" i="18"/>
  <c r="AY84" i="18"/>
  <c r="BC83" i="18"/>
  <c r="BB83" i="18"/>
  <c r="BA83" i="18"/>
  <c r="AZ83" i="18"/>
  <c r="AY83" i="18"/>
  <c r="BC82" i="18"/>
  <c r="BB82" i="18"/>
  <c r="BA82" i="18"/>
  <c r="AZ82" i="18"/>
  <c r="AY82" i="18"/>
  <c r="BC81" i="18"/>
  <c r="BB81" i="18"/>
  <c r="BA81" i="18"/>
  <c r="AZ81" i="18"/>
  <c r="AY81" i="18"/>
  <c r="BC80" i="18"/>
  <c r="BB80" i="18"/>
  <c r="BA80" i="18"/>
  <c r="AZ80" i="18"/>
  <c r="AY80" i="18"/>
  <c r="BC79" i="18"/>
  <c r="BB79" i="18"/>
  <c r="BA79" i="18"/>
  <c r="AZ79" i="18"/>
  <c r="AY79" i="18"/>
  <c r="BC78" i="18"/>
  <c r="BB78" i="18"/>
  <c r="BA78" i="18"/>
  <c r="AZ78" i="18"/>
  <c r="AY78" i="18"/>
  <c r="BC77" i="18"/>
  <c r="BB77" i="18"/>
  <c r="BA77" i="18"/>
  <c r="AZ77" i="18"/>
  <c r="AY77" i="18"/>
  <c r="BC76" i="18"/>
  <c r="BB76" i="18"/>
  <c r="BA76" i="18"/>
  <c r="AZ76" i="18"/>
  <c r="AY76" i="18"/>
  <c r="BC75" i="18"/>
  <c r="BB75" i="18"/>
  <c r="BA75" i="18"/>
  <c r="AZ75" i="18"/>
  <c r="AY75" i="18"/>
  <c r="BC74" i="18"/>
  <c r="BB74" i="18"/>
  <c r="BA74" i="18"/>
  <c r="AZ74" i="18"/>
  <c r="AY74" i="18"/>
  <c r="BC73" i="18"/>
  <c r="BB73" i="18"/>
  <c r="BA73" i="18"/>
  <c r="AZ73" i="18"/>
  <c r="AY73" i="18"/>
  <c r="BC72" i="18"/>
  <c r="BB72" i="18"/>
  <c r="BA72" i="18"/>
  <c r="AZ72" i="18"/>
  <c r="AY72" i="18"/>
  <c r="BC71" i="18"/>
  <c r="BB71" i="18"/>
  <c r="BA71" i="18"/>
  <c r="AZ71" i="18"/>
  <c r="AY71" i="18"/>
  <c r="BC70" i="18"/>
  <c r="BB70" i="18"/>
  <c r="BA70" i="18"/>
  <c r="AZ70" i="18"/>
  <c r="AY70" i="18"/>
  <c r="BC69" i="18"/>
  <c r="BB69" i="18"/>
  <c r="BA69" i="18"/>
  <c r="AZ69" i="18"/>
  <c r="AY69" i="18"/>
  <c r="BC68" i="18"/>
  <c r="BB68" i="18"/>
  <c r="BA68" i="18"/>
  <c r="AZ68" i="18"/>
  <c r="AY68" i="18"/>
  <c r="BC67" i="18"/>
  <c r="BB67" i="18"/>
  <c r="BA67" i="18"/>
  <c r="AZ67" i="18"/>
  <c r="AY67" i="18"/>
  <c r="BC66" i="18"/>
  <c r="BB66" i="18"/>
  <c r="BA66" i="18"/>
  <c r="AZ66" i="18"/>
  <c r="BC65" i="18"/>
  <c r="BB65" i="18"/>
  <c r="BA65" i="18"/>
  <c r="AZ65" i="18"/>
  <c r="BC64" i="18"/>
  <c r="BB64" i="18"/>
  <c r="BA64" i="18"/>
  <c r="AZ64" i="18"/>
  <c r="BC63" i="18"/>
  <c r="BB63" i="18"/>
  <c r="BA63" i="18"/>
  <c r="AZ63" i="18"/>
  <c r="BC62" i="18"/>
  <c r="BB62" i="18"/>
  <c r="BA62" i="18"/>
  <c r="AZ62" i="18"/>
  <c r="BC61" i="18"/>
  <c r="BB61" i="18"/>
  <c r="BA61" i="18"/>
  <c r="AZ61" i="18"/>
  <c r="BC60" i="18"/>
  <c r="BB60" i="18"/>
  <c r="BA60" i="18"/>
  <c r="AZ60" i="18"/>
  <c r="BC59" i="18"/>
  <c r="BB59" i="18"/>
  <c r="BA59" i="18"/>
  <c r="AZ59" i="18"/>
  <c r="BC58" i="18"/>
  <c r="BB58" i="18"/>
  <c r="BA58" i="18"/>
  <c r="AZ58" i="18"/>
  <c r="BC57" i="18"/>
  <c r="BB57" i="18"/>
  <c r="BA57" i="18"/>
  <c r="AZ57" i="18"/>
  <c r="BC56" i="18"/>
  <c r="BB56" i="18"/>
  <c r="BA56" i="18"/>
  <c r="AZ56" i="18"/>
  <c r="BC55" i="18"/>
  <c r="BB55" i="18"/>
  <c r="BA55" i="18"/>
  <c r="AZ55" i="18"/>
  <c r="BC54" i="18"/>
  <c r="BB54" i="18"/>
  <c r="BA54" i="18"/>
  <c r="AZ54" i="18"/>
  <c r="BC53" i="18"/>
  <c r="BB53" i="18"/>
  <c r="BA53" i="18"/>
  <c r="AZ53" i="18"/>
  <c r="BC52" i="18"/>
  <c r="BB52" i="18"/>
  <c r="BA52" i="18"/>
  <c r="AZ52" i="18"/>
  <c r="BC51" i="18"/>
  <c r="BB51" i="18"/>
  <c r="BA51" i="18"/>
  <c r="AZ51" i="18"/>
  <c r="BC50" i="18"/>
  <c r="BB50" i="18"/>
  <c r="BA50" i="18"/>
  <c r="AZ50" i="18"/>
  <c r="BC49" i="18"/>
  <c r="BB49" i="18"/>
  <c r="BA49" i="18"/>
  <c r="AZ49" i="18"/>
  <c r="BC48" i="18"/>
  <c r="BB48" i="18"/>
  <c r="BA48" i="18"/>
  <c r="AZ48" i="18"/>
  <c r="BC47" i="18"/>
  <c r="BB47" i="18"/>
  <c r="BA47" i="18"/>
  <c r="AZ47" i="18"/>
  <c r="BC46" i="18"/>
  <c r="BB46" i="18"/>
  <c r="BA46" i="18"/>
  <c r="BC45" i="18"/>
  <c r="BB45" i="18"/>
  <c r="BA45" i="18"/>
  <c r="BC44" i="18"/>
  <c r="BB44" i="18"/>
  <c r="BA44" i="18"/>
  <c r="BC43" i="18"/>
  <c r="BB43" i="18"/>
  <c r="BA43" i="18"/>
  <c r="BC42" i="18"/>
  <c r="BB42" i="18"/>
  <c r="BA42" i="18"/>
  <c r="BC41" i="18"/>
  <c r="BB41" i="18"/>
  <c r="BA41" i="18"/>
  <c r="BC40" i="18"/>
  <c r="BB40" i="18"/>
  <c r="BA40" i="18"/>
  <c r="BC39" i="18"/>
  <c r="BB39" i="18"/>
  <c r="BA39" i="18"/>
  <c r="BC38" i="18"/>
  <c r="BB38" i="18"/>
  <c r="BA38" i="18"/>
  <c r="BC37" i="18"/>
  <c r="BB37" i="18"/>
  <c r="BA37" i="18"/>
  <c r="BC36" i="18"/>
  <c r="BB36" i="18"/>
  <c r="BA36" i="18"/>
  <c r="BC35" i="18"/>
  <c r="BB35" i="18"/>
  <c r="BA35" i="18"/>
  <c r="BC34" i="18"/>
  <c r="BB34" i="18"/>
  <c r="BA34" i="18"/>
  <c r="BC33" i="18"/>
  <c r="BB33" i="18"/>
  <c r="BA33" i="18"/>
  <c r="BC32" i="18"/>
  <c r="BB32" i="18"/>
  <c r="BA32" i="18"/>
  <c r="BC31" i="18"/>
  <c r="BB31" i="18"/>
  <c r="BA31" i="18"/>
  <c r="BC30" i="18"/>
  <c r="BB30" i="18"/>
  <c r="BA30" i="18"/>
  <c r="BC29" i="18"/>
  <c r="BB29" i="18"/>
  <c r="BA29" i="18"/>
  <c r="BC28" i="18"/>
  <c r="BB28" i="18"/>
  <c r="BA28" i="18"/>
  <c r="BC27" i="18"/>
  <c r="BB27" i="18"/>
  <c r="BA27" i="18"/>
  <c r="BC26" i="18"/>
  <c r="BB26" i="18"/>
  <c r="BC25" i="18"/>
  <c r="BB25" i="18"/>
  <c r="BC24" i="18"/>
  <c r="BB24" i="18"/>
  <c r="BC23" i="18"/>
  <c r="BB23" i="18"/>
  <c r="BC22" i="18"/>
  <c r="BB22" i="18"/>
  <c r="BC21" i="18"/>
  <c r="BB21" i="18"/>
  <c r="BC20" i="18"/>
  <c r="BB20" i="18"/>
  <c r="BC19" i="18"/>
  <c r="BB19" i="18"/>
  <c r="BC18" i="18"/>
  <c r="BB18" i="18"/>
  <c r="BC17" i="18"/>
  <c r="BB17" i="18"/>
  <c r="BC16" i="18"/>
  <c r="BB16" i="18"/>
  <c r="BC15" i="18"/>
  <c r="BB15" i="18"/>
  <c r="BC14" i="18"/>
  <c r="BB14" i="18"/>
  <c r="BC13" i="18"/>
  <c r="BB13" i="18"/>
  <c r="BC12" i="18"/>
  <c r="BB12" i="18"/>
  <c r="BC11" i="18"/>
  <c r="BB11" i="18"/>
  <c r="BB10" i="18"/>
  <c r="AG159" i="18"/>
  <c r="AG158" i="18" s="1"/>
  <c r="AG157" i="18" s="1"/>
  <c r="AG156" i="18" s="1"/>
  <c r="AG155" i="18" s="1"/>
  <c r="AG154" i="18" s="1"/>
  <c r="AG153" i="18" s="1"/>
  <c r="AG152" i="18" s="1"/>
  <c r="AG151" i="18" s="1"/>
  <c r="AG150" i="18" s="1"/>
  <c r="AG149" i="18" s="1"/>
  <c r="AG148" i="18" s="1"/>
  <c r="AG147" i="18" s="1"/>
  <c r="AG146" i="18" s="1"/>
  <c r="AG145" i="18" s="1"/>
  <c r="AG144" i="18" s="1"/>
  <c r="AG143" i="18" s="1"/>
  <c r="AG142" i="18" s="1"/>
  <c r="AG141" i="18" s="1"/>
  <c r="AG140" i="18" s="1"/>
  <c r="AG139" i="18" s="1"/>
  <c r="AG138" i="18" s="1"/>
  <c r="AG137" i="18" s="1"/>
  <c r="AG136" i="18" s="1"/>
  <c r="AG135" i="18" s="1"/>
  <c r="AG134" i="18" s="1"/>
  <c r="AG133" i="18" s="1"/>
  <c r="AG132" i="18" s="1"/>
  <c r="AG131" i="18" s="1"/>
  <c r="AG130" i="18" s="1"/>
  <c r="AG129" i="18" s="1"/>
  <c r="AG128" i="18" s="1"/>
  <c r="AG127" i="18" s="1"/>
  <c r="AG126" i="18" s="1"/>
  <c r="AG125" i="18" s="1"/>
  <c r="AG124" i="18" s="1"/>
  <c r="AG123" i="18" s="1"/>
  <c r="AG122" i="18" s="1"/>
  <c r="AG121" i="18" s="1"/>
  <c r="AG120" i="18" s="1"/>
  <c r="AG119" i="18" s="1"/>
  <c r="AG118" i="18" s="1"/>
  <c r="AG117" i="18" s="1"/>
  <c r="AG116" i="18" s="1"/>
  <c r="AG115" i="18" s="1"/>
  <c r="AG114" i="18" s="1"/>
  <c r="AG113" i="18" s="1"/>
  <c r="AG112" i="18" s="1"/>
  <c r="AG111" i="18" s="1"/>
  <c r="AG110" i="18" s="1"/>
  <c r="AG109" i="18" s="1"/>
  <c r="AG108" i="18" s="1"/>
  <c r="AG107" i="18" s="1"/>
  <c r="AG106" i="18" s="1"/>
  <c r="AG105" i="18" s="1"/>
  <c r="AG104" i="18" s="1"/>
  <c r="AG103" i="18" s="1"/>
  <c r="AG102" i="18" s="1"/>
  <c r="AG101" i="18" s="1"/>
  <c r="AG100" i="18" s="1"/>
  <c r="AG99" i="18" s="1"/>
  <c r="AG98" i="18" s="1"/>
  <c r="AG97" i="18" s="1"/>
  <c r="AG96" i="18" s="1"/>
  <c r="AG95" i="18" s="1"/>
  <c r="AG94" i="18" s="1"/>
  <c r="AG93" i="18" s="1"/>
  <c r="AG92" i="18" s="1"/>
  <c r="AG91" i="18" s="1"/>
  <c r="AG90" i="18" s="1"/>
  <c r="AG89" i="18" s="1"/>
  <c r="AG88" i="18" s="1"/>
  <c r="AG87" i="18" s="1"/>
  <c r="AG86" i="18" s="1"/>
  <c r="AG85" i="18" s="1"/>
  <c r="AG84" i="18" s="1"/>
  <c r="AG83" i="18" s="1"/>
  <c r="AG82" i="18" s="1"/>
  <c r="AG81" i="18" s="1"/>
  <c r="AG80" i="18" s="1"/>
  <c r="AG79" i="18" s="1"/>
  <c r="AG78" i="18" s="1"/>
  <c r="AG77" i="18" s="1"/>
  <c r="AG76" i="18" s="1"/>
  <c r="AG75" i="18" s="1"/>
  <c r="AG74" i="18" s="1"/>
  <c r="AG73" i="18" s="1"/>
  <c r="AG72" i="18" s="1"/>
  <c r="AG71" i="18" s="1"/>
  <c r="AG70" i="18" s="1"/>
  <c r="AG69" i="18" s="1"/>
  <c r="AG68" i="18" s="1"/>
  <c r="AG67" i="18" s="1"/>
  <c r="AH159" i="18"/>
  <c r="AH158" i="18" s="1"/>
  <c r="AH157" i="18" s="1"/>
  <c r="AH156" i="18" s="1"/>
  <c r="AH155" i="18" s="1"/>
  <c r="AH154" i="18" s="1"/>
  <c r="AH153" i="18" s="1"/>
  <c r="AH152" i="18" s="1"/>
  <c r="AH151" i="18" s="1"/>
  <c r="AH150" i="18" s="1"/>
  <c r="AH149" i="18" s="1"/>
  <c r="AH148" i="18" s="1"/>
  <c r="AH147" i="18" s="1"/>
  <c r="AH146" i="18" s="1"/>
  <c r="AH145" i="18" s="1"/>
  <c r="AH144" i="18" s="1"/>
  <c r="AH143" i="18" s="1"/>
  <c r="AH142" i="18" s="1"/>
  <c r="AH141" i="18" s="1"/>
  <c r="AH140" i="18" s="1"/>
  <c r="AH139" i="18" s="1"/>
  <c r="AH138" i="18" s="1"/>
  <c r="AH137" i="18" s="1"/>
  <c r="AH136" i="18" s="1"/>
  <c r="AH135" i="18" s="1"/>
  <c r="AH134" i="18" s="1"/>
  <c r="AH133" i="18" s="1"/>
  <c r="AH132" i="18" s="1"/>
  <c r="AH131" i="18" s="1"/>
  <c r="AH130" i="18" s="1"/>
  <c r="AH129" i="18" s="1"/>
  <c r="AH128" i="18" s="1"/>
  <c r="AH127" i="18" s="1"/>
  <c r="AH126" i="18" s="1"/>
  <c r="AH125" i="18" s="1"/>
  <c r="AH124" i="18" s="1"/>
  <c r="AH123" i="18" s="1"/>
  <c r="AH122" i="18" s="1"/>
  <c r="AH121" i="18" s="1"/>
  <c r="AH120" i="18" s="1"/>
  <c r="AH119" i="18" s="1"/>
  <c r="AH118" i="18" s="1"/>
  <c r="AH117" i="18" s="1"/>
  <c r="AH116" i="18" s="1"/>
  <c r="AH115" i="18" s="1"/>
  <c r="AH114" i="18" s="1"/>
  <c r="AH113" i="18" s="1"/>
  <c r="AH112" i="18" s="1"/>
  <c r="AH111" i="18" s="1"/>
  <c r="AH110" i="18" s="1"/>
  <c r="AH109" i="18" s="1"/>
  <c r="AH108" i="18" s="1"/>
  <c r="AH107" i="18" s="1"/>
  <c r="AH106" i="18" s="1"/>
  <c r="AH105" i="18" s="1"/>
  <c r="AH104" i="18" s="1"/>
  <c r="AH103" i="18" s="1"/>
  <c r="AH102" i="18" s="1"/>
  <c r="AH101" i="18" s="1"/>
  <c r="AH100" i="18" s="1"/>
  <c r="AH99" i="18" s="1"/>
  <c r="AH98" i="18" s="1"/>
  <c r="AH97" i="18" s="1"/>
  <c r="AH96" i="18" s="1"/>
  <c r="AH95" i="18" s="1"/>
  <c r="AH94" i="18" s="1"/>
  <c r="AH93" i="18" s="1"/>
  <c r="AH92" i="18" s="1"/>
  <c r="AH91" i="18" s="1"/>
  <c r="AH90" i="18" s="1"/>
  <c r="AH89" i="18" s="1"/>
  <c r="AH88" i="18" s="1"/>
  <c r="AH87" i="18" s="1"/>
  <c r="AH86" i="18" s="1"/>
  <c r="AH85" i="18" s="1"/>
  <c r="AH84" i="18" s="1"/>
  <c r="AH83" i="18" s="1"/>
  <c r="AH82" i="18" s="1"/>
  <c r="AH81" i="18" s="1"/>
  <c r="AH80" i="18" s="1"/>
  <c r="AH79" i="18" s="1"/>
  <c r="AH78" i="18" s="1"/>
  <c r="AH77" i="18" s="1"/>
  <c r="AH76" i="18" s="1"/>
  <c r="AH75" i="18" s="1"/>
  <c r="AH74" i="18" s="1"/>
  <c r="AH73" i="18" s="1"/>
  <c r="AH72" i="18" s="1"/>
  <c r="AH71" i="18" s="1"/>
  <c r="AH70" i="18" s="1"/>
  <c r="AH69" i="18" s="1"/>
  <c r="AH68" i="18" s="1"/>
  <c r="AH67" i="18" s="1"/>
  <c r="AH66" i="18" s="1"/>
  <c r="AH65" i="18" s="1"/>
  <c r="AH64" i="18" s="1"/>
  <c r="AH63" i="18" s="1"/>
  <c r="AH62" i="18" s="1"/>
  <c r="AH61" i="18" s="1"/>
  <c r="AH60" i="18" s="1"/>
  <c r="AH59" i="18" s="1"/>
  <c r="AH58" i="18" s="1"/>
  <c r="AH57" i="18" s="1"/>
  <c r="AH56" i="18" s="1"/>
  <c r="AH55" i="18" s="1"/>
  <c r="AH54" i="18" s="1"/>
  <c r="AH53" i="18" s="1"/>
  <c r="AH52" i="18" s="1"/>
  <c r="AH51" i="18" s="1"/>
  <c r="AH50" i="18" s="1"/>
  <c r="AH49" i="18" s="1"/>
  <c r="AH48" i="18" s="1"/>
  <c r="AH47" i="18" s="1"/>
  <c r="AI159" i="18"/>
  <c r="AI158" i="18" s="1"/>
  <c r="AI157" i="18" s="1"/>
  <c r="AI156" i="18" s="1"/>
  <c r="AI155" i="18" s="1"/>
  <c r="AI154" i="18" s="1"/>
  <c r="AI153" i="18" s="1"/>
  <c r="AI152" i="18" s="1"/>
  <c r="AI151" i="18" s="1"/>
  <c r="AI150" i="18" s="1"/>
  <c r="AI149" i="18" s="1"/>
  <c r="AI148" i="18" s="1"/>
  <c r="AI147" i="18" s="1"/>
  <c r="AI146" i="18" s="1"/>
  <c r="AI145" i="18" s="1"/>
  <c r="AI144" i="18" s="1"/>
  <c r="AI143" i="18" s="1"/>
  <c r="AI142" i="18" s="1"/>
  <c r="AI141" i="18" s="1"/>
  <c r="AI140" i="18" s="1"/>
  <c r="AI139" i="18" s="1"/>
  <c r="AI138" i="18" s="1"/>
  <c r="AI137" i="18" s="1"/>
  <c r="AI136" i="18" s="1"/>
  <c r="AI135" i="18" s="1"/>
  <c r="AI134" i="18" s="1"/>
  <c r="AI133" i="18" s="1"/>
  <c r="AI132" i="18" s="1"/>
  <c r="AI131" i="18" s="1"/>
  <c r="AI130" i="18" s="1"/>
  <c r="AI129" i="18" s="1"/>
  <c r="AI128" i="18" s="1"/>
  <c r="AI127" i="18" s="1"/>
  <c r="AI126" i="18" s="1"/>
  <c r="AI125" i="18" s="1"/>
  <c r="AI124" i="18" s="1"/>
  <c r="AI123" i="18" s="1"/>
  <c r="AI122" i="18" s="1"/>
  <c r="AI121" i="18" s="1"/>
  <c r="AI120" i="18" s="1"/>
  <c r="AI119" i="18" s="1"/>
  <c r="AI118" i="18" s="1"/>
  <c r="AI117" i="18" s="1"/>
  <c r="AI116" i="18" s="1"/>
  <c r="AI115" i="18" s="1"/>
  <c r="AI114" i="18" s="1"/>
  <c r="AI113" i="18" s="1"/>
  <c r="AI112" i="18" s="1"/>
  <c r="AI111" i="18" s="1"/>
  <c r="AI110" i="18" s="1"/>
  <c r="AI109" i="18" s="1"/>
  <c r="AI108" i="18" s="1"/>
  <c r="AI107" i="18" s="1"/>
  <c r="AI106" i="18" s="1"/>
  <c r="AI105" i="18" s="1"/>
  <c r="AI104" i="18" s="1"/>
  <c r="AI103" i="18" s="1"/>
  <c r="AI102" i="18" s="1"/>
  <c r="AI101" i="18" s="1"/>
  <c r="AI100" i="18" s="1"/>
  <c r="AI99" i="18" s="1"/>
  <c r="AI98" i="18" s="1"/>
  <c r="AI97" i="18" s="1"/>
  <c r="AI96" i="18" s="1"/>
  <c r="AI95" i="18" s="1"/>
  <c r="AI94" i="18" s="1"/>
  <c r="AI93" i="18" s="1"/>
  <c r="AI92" i="18" s="1"/>
  <c r="AI91" i="18" s="1"/>
  <c r="AI90" i="18" s="1"/>
  <c r="AI89" i="18" s="1"/>
  <c r="AI88" i="18" s="1"/>
  <c r="AI87" i="18" s="1"/>
  <c r="AI86" i="18" s="1"/>
  <c r="AI85" i="18" s="1"/>
  <c r="AI84" i="18" s="1"/>
  <c r="AI83" i="18" s="1"/>
  <c r="AI82" i="18" s="1"/>
  <c r="AI81" i="18" s="1"/>
  <c r="AI80" i="18" s="1"/>
  <c r="AI79" i="18" s="1"/>
  <c r="AI78" i="18" s="1"/>
  <c r="AI77" i="18" s="1"/>
  <c r="AI76" i="18" s="1"/>
  <c r="AI75" i="18" s="1"/>
  <c r="AI74" i="18" s="1"/>
  <c r="AI73" i="18" s="1"/>
  <c r="AI72" i="18" s="1"/>
  <c r="AI71" i="18" s="1"/>
  <c r="AI70" i="18" s="1"/>
  <c r="AI69" i="18" s="1"/>
  <c r="AI68" i="18" s="1"/>
  <c r="AI67" i="18" s="1"/>
  <c r="AI66" i="18" s="1"/>
  <c r="AI65" i="18" s="1"/>
  <c r="AI64" i="18" s="1"/>
  <c r="AI63" i="18" s="1"/>
  <c r="AI62" i="18" s="1"/>
  <c r="AI61" i="18" s="1"/>
  <c r="AI60" i="18" s="1"/>
  <c r="AI59" i="18" s="1"/>
  <c r="AI58" i="18" s="1"/>
  <c r="AI57" i="18" s="1"/>
  <c r="AI56" i="18" s="1"/>
  <c r="AI55" i="18" s="1"/>
  <c r="AI54" i="18" s="1"/>
  <c r="AI53" i="18" s="1"/>
  <c r="AI52" i="18" s="1"/>
  <c r="AI51" i="18" s="1"/>
  <c r="AI50" i="18" s="1"/>
  <c r="AI49" i="18" s="1"/>
  <c r="AI48" i="18" s="1"/>
  <c r="AI47" i="18" s="1"/>
  <c r="AI46" i="18" s="1"/>
  <c r="AI45" i="18" s="1"/>
  <c r="AI44" i="18" s="1"/>
  <c r="AI43" i="18" s="1"/>
  <c r="AI42" i="18" s="1"/>
  <c r="AI41" i="18" s="1"/>
  <c r="AI40" i="18" s="1"/>
  <c r="AI39" i="18" s="1"/>
  <c r="AI38" i="18" s="1"/>
  <c r="AI37" i="18" s="1"/>
  <c r="AI36" i="18" s="1"/>
  <c r="AI35" i="18" s="1"/>
  <c r="AI34" i="18" s="1"/>
  <c r="AI33" i="18" s="1"/>
  <c r="AI32" i="18" s="1"/>
  <c r="AI31" i="18" s="1"/>
  <c r="AI30" i="18" s="1"/>
  <c r="AI29" i="18" s="1"/>
  <c r="AI28" i="18" s="1"/>
  <c r="AI27" i="18" s="1"/>
  <c r="AJ159" i="18"/>
  <c r="AJ158" i="18"/>
  <c r="AJ157" i="18"/>
  <c r="AJ156" i="18"/>
  <c r="AJ155" i="18"/>
  <c r="AJ154" i="18" s="1"/>
  <c r="AJ153" i="18" s="1"/>
  <c r="AJ152" i="18" s="1"/>
  <c r="AJ151" i="18" s="1"/>
  <c r="AJ150" i="18" s="1"/>
  <c r="AJ149" i="18" s="1"/>
  <c r="AJ148" i="18" s="1"/>
  <c r="AJ147" i="18" s="1"/>
  <c r="AJ146" i="18" s="1"/>
  <c r="AJ145" i="18" s="1"/>
  <c r="AJ144" i="18" s="1"/>
  <c r="AJ143" i="18" s="1"/>
  <c r="AJ142" i="18" s="1"/>
  <c r="AJ141" i="18" s="1"/>
  <c r="AJ140" i="18" s="1"/>
  <c r="AJ139" i="18" s="1"/>
  <c r="AJ138" i="18" s="1"/>
  <c r="AJ137" i="18" s="1"/>
  <c r="AJ136" i="18" s="1"/>
  <c r="AJ135" i="18" s="1"/>
  <c r="AJ134" i="18" s="1"/>
  <c r="AJ133" i="18" s="1"/>
  <c r="AJ132" i="18" s="1"/>
  <c r="AJ131" i="18" s="1"/>
  <c r="AJ130" i="18" s="1"/>
  <c r="AJ129" i="18" s="1"/>
  <c r="AJ128" i="18" s="1"/>
  <c r="AJ127" i="18" s="1"/>
  <c r="AJ126" i="18" s="1"/>
  <c r="AJ125" i="18" s="1"/>
  <c r="AJ124" i="18" s="1"/>
  <c r="AJ123" i="18" s="1"/>
  <c r="AJ122" i="18" s="1"/>
  <c r="AJ121" i="18" s="1"/>
  <c r="AJ120" i="18" s="1"/>
  <c r="AJ119" i="18" s="1"/>
  <c r="AJ118" i="18" s="1"/>
  <c r="AJ117" i="18" s="1"/>
  <c r="AJ116" i="18" s="1"/>
  <c r="AJ115" i="18" s="1"/>
  <c r="AJ114" i="18" s="1"/>
  <c r="AJ113" i="18" s="1"/>
  <c r="AJ112" i="18" s="1"/>
  <c r="AJ111" i="18" s="1"/>
  <c r="AJ110" i="18" s="1"/>
  <c r="AJ109" i="18" s="1"/>
  <c r="AJ108" i="18" s="1"/>
  <c r="AJ107" i="18" s="1"/>
  <c r="AJ106" i="18" s="1"/>
  <c r="AJ105" i="18" s="1"/>
  <c r="AJ104" i="18" s="1"/>
  <c r="AJ103" i="18" s="1"/>
  <c r="AJ102" i="18" s="1"/>
  <c r="AJ101" i="18" s="1"/>
  <c r="AJ100" i="18" s="1"/>
  <c r="AJ99" i="18" s="1"/>
  <c r="AJ98" i="18" s="1"/>
  <c r="AJ97" i="18" s="1"/>
  <c r="AJ96" i="18" s="1"/>
  <c r="AJ95" i="18" s="1"/>
  <c r="AJ94" i="18" s="1"/>
  <c r="AJ93" i="18" s="1"/>
  <c r="AJ92" i="18" s="1"/>
  <c r="AJ91" i="18" s="1"/>
  <c r="AJ90" i="18" s="1"/>
  <c r="AJ89" i="18" s="1"/>
  <c r="AJ88" i="18" s="1"/>
  <c r="AJ87" i="18" s="1"/>
  <c r="AJ86" i="18" s="1"/>
  <c r="AJ85" i="18" s="1"/>
  <c r="AJ84" i="18" s="1"/>
  <c r="AJ83" i="18" s="1"/>
  <c r="AJ82" i="18" s="1"/>
  <c r="AJ81" i="18" s="1"/>
  <c r="AJ80" i="18" s="1"/>
  <c r="AJ79" i="18" s="1"/>
  <c r="AJ78" i="18" s="1"/>
  <c r="AJ77" i="18" s="1"/>
  <c r="AJ76" i="18" s="1"/>
  <c r="AJ75" i="18" s="1"/>
  <c r="AJ74" i="18" s="1"/>
  <c r="AJ73" i="18" s="1"/>
  <c r="AJ72" i="18" s="1"/>
  <c r="AJ71" i="18" s="1"/>
  <c r="AJ70" i="18" s="1"/>
  <c r="AJ69" i="18" s="1"/>
  <c r="AJ68" i="18" s="1"/>
  <c r="AJ67" i="18" s="1"/>
  <c r="AJ66" i="18" s="1"/>
  <c r="AJ65" i="18" s="1"/>
  <c r="AJ64" i="18" s="1"/>
  <c r="AJ63" i="18" s="1"/>
  <c r="AJ62" i="18" s="1"/>
  <c r="AJ61" i="18" s="1"/>
  <c r="AJ60" i="18" s="1"/>
  <c r="AJ59" i="18" s="1"/>
  <c r="AJ58" i="18" s="1"/>
  <c r="AJ57" i="18" s="1"/>
  <c r="AJ56" i="18" s="1"/>
  <c r="AJ55" i="18" s="1"/>
  <c r="AJ54" i="18" s="1"/>
  <c r="AJ53" i="18" s="1"/>
  <c r="AJ52" i="18" s="1"/>
  <c r="AJ51" i="18" s="1"/>
  <c r="AJ50" i="18" s="1"/>
  <c r="AJ49" i="18" s="1"/>
  <c r="AJ48" i="18" s="1"/>
  <c r="AJ47" i="18" s="1"/>
  <c r="AJ46" i="18" s="1"/>
  <c r="AJ45" i="18" s="1"/>
  <c r="AJ44" i="18" s="1"/>
  <c r="AJ43" i="18" s="1"/>
  <c r="AJ42" i="18" s="1"/>
  <c r="AJ41" i="18" s="1"/>
  <c r="AJ40" i="18" s="1"/>
  <c r="AJ39" i="18" s="1"/>
  <c r="AJ38" i="18" s="1"/>
  <c r="AJ37" i="18" s="1"/>
  <c r="AJ36" i="18" s="1"/>
  <c r="AJ35" i="18" s="1"/>
  <c r="AJ34" i="18" s="1"/>
  <c r="AJ33" i="18" s="1"/>
  <c r="AJ32" i="18" s="1"/>
  <c r="AJ31" i="18" s="1"/>
  <c r="AJ30" i="18" s="1"/>
  <c r="AJ29" i="18" s="1"/>
  <c r="AJ28" i="18" s="1"/>
  <c r="AJ27" i="18" s="1"/>
  <c r="AJ26" i="18" s="1"/>
  <c r="AJ25" i="18" s="1"/>
  <c r="AJ24" i="18" s="1"/>
  <c r="AJ23" i="18" s="1"/>
  <c r="AJ22" i="18" s="1"/>
  <c r="AJ21" i="18" s="1"/>
  <c r="AJ20" i="18" s="1"/>
  <c r="AJ19" i="18" s="1"/>
  <c r="AJ18" i="18" s="1"/>
  <c r="AJ17" i="18" s="1"/>
  <c r="AJ16" i="18" s="1"/>
  <c r="AJ15" i="18" s="1"/>
  <c r="AJ14" i="18" s="1"/>
  <c r="AJ13" i="18" s="1"/>
  <c r="AJ12" i="18" s="1"/>
  <c r="AJ11" i="18" s="1"/>
  <c r="AJ10" i="18" s="1"/>
  <c r="AK159" i="18"/>
  <c r="AK158" i="18"/>
  <c r="AK157" i="18" s="1"/>
  <c r="AK156" i="18" s="1"/>
  <c r="AK155" i="18" s="1"/>
  <c r="AK154" i="18" s="1"/>
  <c r="AK153" i="18" s="1"/>
  <c r="AK152" i="18" s="1"/>
  <c r="AK151" i="18" s="1"/>
  <c r="AK150" i="18" s="1"/>
  <c r="AK149" i="18" s="1"/>
  <c r="AK148" i="18" s="1"/>
  <c r="AK147" i="18" s="1"/>
  <c r="AK146" i="18" s="1"/>
  <c r="AK145" i="18" s="1"/>
  <c r="AK144" i="18" s="1"/>
  <c r="AK143" i="18" s="1"/>
  <c r="AK142" i="18" s="1"/>
  <c r="AK141" i="18" s="1"/>
  <c r="AK140" i="18" s="1"/>
  <c r="AK139" i="18" s="1"/>
  <c r="AK138" i="18" s="1"/>
  <c r="AK137" i="18" s="1"/>
  <c r="AK136" i="18" s="1"/>
  <c r="AK135" i="18" s="1"/>
  <c r="AK134" i="18" s="1"/>
  <c r="AK133" i="18" s="1"/>
  <c r="AK132" i="18" s="1"/>
  <c r="AK131" i="18" s="1"/>
  <c r="AK130" i="18" s="1"/>
  <c r="AK129" i="18" s="1"/>
  <c r="AK128" i="18" s="1"/>
  <c r="AK127" i="18" s="1"/>
  <c r="AK126" i="18" s="1"/>
  <c r="AK125" i="18" s="1"/>
  <c r="AK124" i="18" s="1"/>
  <c r="AK123" i="18" s="1"/>
  <c r="AK122" i="18" s="1"/>
  <c r="AK121" i="18" s="1"/>
  <c r="AK120" i="18" s="1"/>
  <c r="AK119" i="18" s="1"/>
  <c r="AK118" i="18" s="1"/>
  <c r="AK117" i="18" s="1"/>
  <c r="AK116" i="18" s="1"/>
  <c r="AK115" i="18" s="1"/>
  <c r="AK114" i="18" s="1"/>
  <c r="AK113" i="18" s="1"/>
  <c r="AK112" i="18" s="1"/>
  <c r="AK111" i="18" s="1"/>
  <c r="AK110" i="18" s="1"/>
  <c r="AK109" i="18" s="1"/>
  <c r="AK108" i="18" s="1"/>
  <c r="AK107" i="18" s="1"/>
  <c r="AK106" i="18" s="1"/>
  <c r="AK105" i="18" s="1"/>
  <c r="AK104" i="18" s="1"/>
  <c r="AK103" i="18" s="1"/>
  <c r="AK102" i="18" s="1"/>
  <c r="AK101" i="18" s="1"/>
  <c r="AK100" i="18" s="1"/>
  <c r="AK99" i="18" s="1"/>
  <c r="AK98" i="18" s="1"/>
  <c r="AK97" i="18" s="1"/>
  <c r="AK96" i="18" s="1"/>
  <c r="AK95" i="18" s="1"/>
  <c r="AK94" i="18" s="1"/>
  <c r="AK93" i="18" s="1"/>
  <c r="AK92" i="18" s="1"/>
  <c r="AK91" i="18" s="1"/>
  <c r="AK90" i="18" s="1"/>
  <c r="AK89" i="18" s="1"/>
  <c r="AK88" i="18" s="1"/>
  <c r="AK87" i="18" s="1"/>
  <c r="AK86" i="18" s="1"/>
  <c r="AK85" i="18" s="1"/>
  <c r="AK84" i="18" s="1"/>
  <c r="AK83" i="18" s="1"/>
  <c r="AK82" i="18" s="1"/>
  <c r="AK81" i="18" s="1"/>
  <c r="AK80" i="18" s="1"/>
  <c r="AK79" i="18" s="1"/>
  <c r="AK78" i="18" s="1"/>
  <c r="AK77" i="18" s="1"/>
  <c r="AK76" i="18" s="1"/>
  <c r="AK75" i="18" s="1"/>
  <c r="AK74" i="18" s="1"/>
  <c r="AK73" i="18" s="1"/>
  <c r="AK72" i="18" s="1"/>
  <c r="AK71" i="18" s="1"/>
  <c r="AK70" i="18" s="1"/>
  <c r="AK69" i="18" s="1"/>
  <c r="AK68" i="18" s="1"/>
  <c r="AK67" i="18" s="1"/>
  <c r="AK66" i="18" s="1"/>
  <c r="AK65" i="18" s="1"/>
  <c r="AK64" i="18" s="1"/>
  <c r="AK63" i="18" s="1"/>
  <c r="AK62" i="18" s="1"/>
  <c r="AK61" i="18" s="1"/>
  <c r="AK60" i="18" s="1"/>
  <c r="AK59" i="18" s="1"/>
  <c r="AK58" i="18" s="1"/>
  <c r="AK57" i="18" s="1"/>
  <c r="AK56" i="18" s="1"/>
  <c r="AK55" i="18" s="1"/>
  <c r="AK54" i="18" s="1"/>
  <c r="AK53" i="18" s="1"/>
  <c r="AK52" i="18" s="1"/>
  <c r="AK51" i="18" s="1"/>
  <c r="AK50" i="18" s="1"/>
  <c r="AK49" i="18" s="1"/>
  <c r="AK48" i="18" s="1"/>
  <c r="AK47" i="18" s="1"/>
  <c r="AK46" i="18" s="1"/>
  <c r="AK45" i="18" s="1"/>
  <c r="AK44" i="18" s="1"/>
  <c r="AK43" i="18" s="1"/>
  <c r="AK42" i="18" s="1"/>
  <c r="AK41" i="18" s="1"/>
  <c r="AK40" i="18" s="1"/>
  <c r="AK39" i="18" s="1"/>
  <c r="AK38" i="18" s="1"/>
  <c r="AK37" i="18" s="1"/>
  <c r="AK36" i="18" s="1"/>
  <c r="AK35" i="18" s="1"/>
  <c r="AK34" i="18" s="1"/>
  <c r="AK33" i="18" s="1"/>
  <c r="AK32" i="18" s="1"/>
  <c r="AK31" i="18" s="1"/>
  <c r="AK30" i="18" s="1"/>
  <c r="AK29" i="18" s="1"/>
  <c r="AK28" i="18" s="1"/>
  <c r="AK27" i="18" s="1"/>
  <c r="AK26" i="18" s="1"/>
  <c r="AK25" i="18" s="1"/>
  <c r="AK24" i="18" s="1"/>
  <c r="AK23" i="18" s="1"/>
  <c r="AK22" i="18" s="1"/>
  <c r="AK21" i="18" s="1"/>
  <c r="AK20" i="18" s="1"/>
  <c r="AK19" i="18" s="1"/>
  <c r="AK18" i="18" s="1"/>
  <c r="AK17" i="18" s="1"/>
  <c r="AK16" i="18" s="1"/>
  <c r="AK15" i="18" s="1"/>
  <c r="AK14" i="18" s="1"/>
  <c r="AK13" i="18" s="1"/>
  <c r="AK12" i="18" s="1"/>
  <c r="AK11" i="18" s="1"/>
  <c r="AK10" i="18" s="1"/>
  <c r="BC10" i="18" s="1"/>
  <c r="BC8" i="18"/>
  <c r="BB8" i="18"/>
  <c r="BA8" i="18"/>
  <c r="AZ8" i="18"/>
  <c r="AY8" i="18"/>
  <c r="BC7" i="18"/>
  <c r="AU130" i="18"/>
  <c r="AT130" i="18"/>
  <c r="AS130" i="18"/>
  <c r="AU129" i="18"/>
  <c r="AT129" i="18"/>
  <c r="AS129" i="18"/>
  <c r="AU128" i="18"/>
  <c r="AT128" i="18"/>
  <c r="AS128" i="18"/>
  <c r="AU127" i="18"/>
  <c r="AT127" i="18"/>
  <c r="AS127" i="18"/>
  <c r="AU126" i="18"/>
  <c r="AT126" i="18"/>
  <c r="AS126" i="18"/>
  <c r="AU125" i="18"/>
  <c r="AT125" i="18"/>
  <c r="AS125" i="18"/>
  <c r="AU124" i="18"/>
  <c r="AT124" i="18"/>
  <c r="AS124" i="18"/>
  <c r="AU123" i="18"/>
  <c r="AT123" i="18"/>
  <c r="AS123" i="18"/>
  <c r="AU122" i="18"/>
  <c r="AT122" i="18"/>
  <c r="AS122" i="18"/>
  <c r="AU121" i="18"/>
  <c r="AT121" i="18"/>
  <c r="AS121" i="18"/>
  <c r="AU120" i="18"/>
  <c r="AT120" i="18"/>
  <c r="AS120" i="18"/>
  <c r="AU119" i="18"/>
  <c r="AT119" i="18"/>
  <c r="AS119" i="18"/>
  <c r="AU118" i="18"/>
  <c r="AT118" i="18"/>
  <c r="AS118" i="18"/>
  <c r="AU117" i="18"/>
  <c r="AT117" i="18"/>
  <c r="AS117" i="18"/>
  <c r="AU116" i="18"/>
  <c r="AT116" i="18"/>
  <c r="AS116" i="18"/>
  <c r="AU115" i="18"/>
  <c r="AT115" i="18"/>
  <c r="AS115" i="18"/>
  <c r="AU114" i="18"/>
  <c r="AT114" i="18"/>
  <c r="AS114" i="18"/>
  <c r="AU113" i="18"/>
  <c r="AT113" i="18"/>
  <c r="AS113" i="18"/>
  <c r="AU112" i="18"/>
  <c r="AT112" i="18"/>
  <c r="AS112" i="18"/>
  <c r="AU111" i="18"/>
  <c r="AT111" i="18"/>
  <c r="AS111" i="18"/>
  <c r="AU110" i="18"/>
  <c r="AT110" i="18"/>
  <c r="AS110" i="18"/>
  <c r="AU109" i="18"/>
  <c r="AT109" i="18"/>
  <c r="AS109" i="18"/>
  <c r="AU108" i="18"/>
  <c r="AT108" i="18"/>
  <c r="AS108" i="18"/>
  <c r="AU107" i="18"/>
  <c r="AT107" i="18"/>
  <c r="AS107" i="18"/>
  <c r="AU106" i="18"/>
  <c r="AT106" i="18"/>
  <c r="AS106" i="18"/>
  <c r="AU105" i="18"/>
  <c r="AT105" i="18"/>
  <c r="AS105" i="18"/>
  <c r="AU104" i="18"/>
  <c r="AT104" i="18"/>
  <c r="AS104" i="18"/>
  <c r="AU103" i="18"/>
  <c r="AT103" i="18"/>
  <c r="AS103" i="18"/>
  <c r="AU102" i="18"/>
  <c r="AT102" i="18"/>
  <c r="AS102" i="18"/>
  <c r="AU101" i="18"/>
  <c r="AT101" i="18"/>
  <c r="AS101" i="18"/>
  <c r="AU100" i="18"/>
  <c r="AT100" i="18"/>
  <c r="AS100" i="18"/>
  <c r="AU99" i="18"/>
  <c r="AT99" i="18"/>
  <c r="AS99" i="18"/>
  <c r="AU98" i="18"/>
  <c r="AT98" i="18"/>
  <c r="AS98" i="18"/>
  <c r="AU97" i="18"/>
  <c r="AT97" i="18"/>
  <c r="AS97" i="18"/>
  <c r="AU96" i="18"/>
  <c r="AT96" i="18"/>
  <c r="AS96" i="18"/>
  <c r="AU95" i="18"/>
  <c r="AT95" i="18"/>
  <c r="AS95" i="18"/>
  <c r="AU94" i="18"/>
  <c r="AT94" i="18"/>
  <c r="AS94" i="18"/>
  <c r="AU93" i="18"/>
  <c r="AT93" i="18"/>
  <c r="AS93" i="18"/>
  <c r="AU92" i="18"/>
  <c r="AT92" i="18"/>
  <c r="AS92" i="18"/>
  <c r="AU91" i="18"/>
  <c r="AT91" i="18"/>
  <c r="AS91" i="18"/>
  <c r="AU90" i="18"/>
  <c r="AT90" i="18"/>
  <c r="AS90" i="18"/>
  <c r="AU89" i="18"/>
  <c r="AT89" i="18"/>
  <c r="AS89" i="18"/>
  <c r="AU88" i="18"/>
  <c r="AT88" i="18"/>
  <c r="AS88" i="18"/>
  <c r="AU87" i="18"/>
  <c r="AT87" i="18"/>
  <c r="AS87" i="18"/>
  <c r="AU86" i="18"/>
  <c r="AT86" i="18"/>
  <c r="AS86" i="18"/>
  <c r="AU85" i="18"/>
  <c r="AT85" i="18"/>
  <c r="AS85" i="18"/>
  <c r="AU84" i="18"/>
  <c r="AT84" i="18"/>
  <c r="AS84" i="18"/>
  <c r="AU83" i="18"/>
  <c r="AT83" i="18"/>
  <c r="AS83" i="18"/>
  <c r="AU82" i="18"/>
  <c r="AT82" i="18"/>
  <c r="AS82" i="18"/>
  <c r="AU81" i="18"/>
  <c r="AT81" i="18"/>
  <c r="AS81" i="18"/>
  <c r="AU80" i="18"/>
  <c r="AT80" i="18"/>
  <c r="AS80" i="18"/>
  <c r="AU79" i="18"/>
  <c r="AT79" i="18"/>
  <c r="AS79" i="18"/>
  <c r="AU78" i="18"/>
  <c r="AT78" i="18"/>
  <c r="AS78" i="18"/>
  <c r="AU77" i="18"/>
  <c r="AT77" i="18"/>
  <c r="AS77" i="18"/>
  <c r="AU76" i="18"/>
  <c r="AT76" i="18"/>
  <c r="AS76" i="18"/>
  <c r="AU75" i="18"/>
  <c r="AT75" i="18"/>
  <c r="AS75" i="18"/>
  <c r="AU74" i="18"/>
  <c r="AT74" i="18"/>
  <c r="AS74" i="18"/>
  <c r="AU73" i="18"/>
  <c r="AT73" i="18"/>
  <c r="AS73" i="18"/>
  <c r="AU72" i="18"/>
  <c r="AT72" i="18"/>
  <c r="AS72" i="18"/>
  <c r="AU71" i="18"/>
  <c r="AT71" i="18"/>
  <c r="AS71" i="18"/>
  <c r="AU70" i="18"/>
  <c r="AT70" i="18"/>
  <c r="AS70" i="18"/>
  <c r="AU69" i="18"/>
  <c r="AT69" i="18"/>
  <c r="AS69" i="18"/>
  <c r="AU68" i="18"/>
  <c r="AT68" i="18"/>
  <c r="AS68" i="18"/>
  <c r="AU67" i="18"/>
  <c r="AT67" i="18"/>
  <c r="AS67" i="18"/>
  <c r="AU66" i="18"/>
  <c r="AT66" i="18"/>
  <c r="AU65" i="18"/>
  <c r="AT65" i="18"/>
  <c r="AU64" i="18"/>
  <c r="AT64" i="18"/>
  <c r="AU63" i="18"/>
  <c r="AT63" i="18"/>
  <c r="AU62" i="18"/>
  <c r="AT62" i="18"/>
  <c r="AU61" i="18"/>
  <c r="AT61" i="18"/>
  <c r="AU60" i="18"/>
  <c r="AT60" i="18"/>
  <c r="AU59" i="18"/>
  <c r="AT59" i="18"/>
  <c r="AU58" i="18"/>
  <c r="AT58" i="18"/>
  <c r="AU57" i="18"/>
  <c r="AT57" i="18"/>
  <c r="AU56" i="18"/>
  <c r="AT56" i="18"/>
  <c r="AU55" i="18"/>
  <c r="AT55" i="18"/>
  <c r="AU54" i="18"/>
  <c r="AT54" i="18"/>
  <c r="AU53" i="18"/>
  <c r="AT53" i="18"/>
  <c r="AU52" i="18"/>
  <c r="AT52" i="18"/>
  <c r="AU51" i="18"/>
  <c r="AT51" i="18"/>
  <c r="AU50" i="18"/>
  <c r="AT50" i="18"/>
  <c r="AU49" i="18"/>
  <c r="AT49" i="18"/>
  <c r="AU48" i="18"/>
  <c r="AT48" i="18"/>
  <c r="AU47" i="18"/>
  <c r="AT47" i="18"/>
  <c r="AU46" i="18"/>
  <c r="AU45" i="18"/>
  <c r="AU44" i="18"/>
  <c r="AU43" i="18"/>
  <c r="AU42" i="18"/>
  <c r="AU41" i="18"/>
  <c r="AU40" i="18"/>
  <c r="AU39" i="18"/>
  <c r="AU38" i="18"/>
  <c r="AU37" i="18"/>
  <c r="AU36" i="18"/>
  <c r="AU35" i="18"/>
  <c r="AU34" i="18"/>
  <c r="AU33" i="18"/>
  <c r="AU32" i="18"/>
  <c r="AU31" i="18"/>
  <c r="AU30" i="18"/>
  <c r="AU29" i="18"/>
  <c r="AU28" i="18"/>
  <c r="AU27" i="18"/>
  <c r="AW130" i="18"/>
  <c r="AV130" i="18"/>
  <c r="AW129" i="18"/>
  <c r="AV129" i="18"/>
  <c r="AW128" i="18"/>
  <c r="AV128" i="18"/>
  <c r="AW127" i="18"/>
  <c r="AV127" i="18"/>
  <c r="AW126" i="18"/>
  <c r="AV126" i="18"/>
  <c r="AW125" i="18"/>
  <c r="AV125" i="18"/>
  <c r="AW124" i="18"/>
  <c r="AV124" i="18"/>
  <c r="AW123" i="18"/>
  <c r="AV123" i="18"/>
  <c r="AW122" i="18"/>
  <c r="AV122" i="18"/>
  <c r="AW121" i="18"/>
  <c r="AV121" i="18"/>
  <c r="AW120" i="18"/>
  <c r="AV120" i="18"/>
  <c r="AW119" i="18"/>
  <c r="AV119" i="18"/>
  <c r="AW118" i="18"/>
  <c r="AV118" i="18"/>
  <c r="AW117" i="18"/>
  <c r="AV117" i="18"/>
  <c r="AW116" i="18"/>
  <c r="AV116" i="18"/>
  <c r="AW115" i="18"/>
  <c r="AV115" i="18"/>
  <c r="AW114" i="18"/>
  <c r="AV114" i="18"/>
  <c r="AW113" i="18"/>
  <c r="AV113" i="18"/>
  <c r="AW112" i="18"/>
  <c r="AV112" i="18"/>
  <c r="AW111" i="18"/>
  <c r="AV111" i="18"/>
  <c r="AW110" i="18"/>
  <c r="AV110" i="18"/>
  <c r="AW109" i="18"/>
  <c r="AV109" i="18"/>
  <c r="AW108" i="18"/>
  <c r="AV108" i="18"/>
  <c r="AW107" i="18"/>
  <c r="AV107" i="18"/>
  <c r="AW106" i="18"/>
  <c r="AV106" i="18"/>
  <c r="AW105" i="18"/>
  <c r="AV105" i="18"/>
  <c r="AW104" i="18"/>
  <c r="AV104" i="18"/>
  <c r="AW103" i="18"/>
  <c r="AV103" i="18"/>
  <c r="AW102" i="18"/>
  <c r="AV102" i="18"/>
  <c r="AW101" i="18"/>
  <c r="AV101" i="18"/>
  <c r="AW100" i="18"/>
  <c r="AV100" i="18"/>
  <c r="AW99" i="18"/>
  <c r="AV99" i="18"/>
  <c r="AW98" i="18"/>
  <c r="AV98" i="18"/>
  <c r="AW97" i="18"/>
  <c r="AV97" i="18"/>
  <c r="AW96" i="18"/>
  <c r="AV96" i="18"/>
  <c r="AW95" i="18"/>
  <c r="AV95" i="18"/>
  <c r="AW94" i="18"/>
  <c r="AV94" i="18"/>
  <c r="AW93" i="18"/>
  <c r="AV93" i="18"/>
  <c r="AW92" i="18"/>
  <c r="AV92" i="18"/>
  <c r="AW91" i="18"/>
  <c r="AV91" i="18"/>
  <c r="AW90" i="18"/>
  <c r="AV90" i="18"/>
  <c r="AW89" i="18"/>
  <c r="AV89" i="18"/>
  <c r="AW88" i="18"/>
  <c r="AV88" i="18"/>
  <c r="AW87" i="18"/>
  <c r="AV87" i="18"/>
  <c r="AW86" i="18"/>
  <c r="AV86" i="18"/>
  <c r="AW85" i="18"/>
  <c r="AV85" i="18"/>
  <c r="AW84" i="18"/>
  <c r="AV84" i="18"/>
  <c r="AW83" i="18"/>
  <c r="AV83" i="18"/>
  <c r="AW82" i="18"/>
  <c r="AV82" i="18"/>
  <c r="AW81" i="18"/>
  <c r="AV81" i="18"/>
  <c r="AW80" i="18"/>
  <c r="AV80" i="18"/>
  <c r="AW79" i="18"/>
  <c r="AV79" i="18"/>
  <c r="AW78" i="18"/>
  <c r="AV78" i="18"/>
  <c r="AW77" i="18"/>
  <c r="AV77" i="18"/>
  <c r="AW76" i="18"/>
  <c r="AV76" i="18"/>
  <c r="AW75" i="18"/>
  <c r="AV75" i="18"/>
  <c r="AW74" i="18"/>
  <c r="AV74" i="18"/>
  <c r="AW73" i="18"/>
  <c r="AV73" i="18"/>
  <c r="AW72" i="18"/>
  <c r="AV72" i="18"/>
  <c r="AW71" i="18"/>
  <c r="AV71" i="18"/>
  <c r="AW70" i="18"/>
  <c r="AV70" i="18"/>
  <c r="AW69" i="18"/>
  <c r="AV69" i="18"/>
  <c r="AW68" i="18"/>
  <c r="AV68" i="18"/>
  <c r="AW67" i="18"/>
  <c r="AV67" i="18"/>
  <c r="AW66" i="18"/>
  <c r="AV66" i="18"/>
  <c r="AW65" i="18"/>
  <c r="AV65" i="18"/>
  <c r="AW64" i="18"/>
  <c r="AV64" i="18"/>
  <c r="AW63" i="18"/>
  <c r="AV63" i="18"/>
  <c r="AW62" i="18"/>
  <c r="AV62" i="18"/>
  <c r="AW61" i="18"/>
  <c r="AV61" i="18"/>
  <c r="AW60" i="18"/>
  <c r="AV60" i="18"/>
  <c r="AW59" i="18"/>
  <c r="AV59" i="18"/>
  <c r="AW58" i="18"/>
  <c r="AV58" i="18"/>
  <c r="AW57" i="18"/>
  <c r="AV57" i="18"/>
  <c r="AW56" i="18"/>
  <c r="AV56" i="18"/>
  <c r="AW55" i="18"/>
  <c r="AV55" i="18"/>
  <c r="AW54" i="18"/>
  <c r="AV54" i="18"/>
  <c r="AW53" i="18"/>
  <c r="AV53" i="18"/>
  <c r="AW52" i="18"/>
  <c r="AV52" i="18"/>
  <c r="AW51" i="18"/>
  <c r="AV51" i="18"/>
  <c r="AW50" i="18"/>
  <c r="AV50" i="18"/>
  <c r="AW49" i="18"/>
  <c r="AV49" i="18"/>
  <c r="AW48" i="18"/>
  <c r="AV48" i="18"/>
  <c r="AW47" i="18"/>
  <c r="AV47" i="18"/>
  <c r="AW46" i="18"/>
  <c r="AV46" i="18"/>
  <c r="AW45" i="18"/>
  <c r="AV45" i="18"/>
  <c r="AW44" i="18"/>
  <c r="AV44" i="18"/>
  <c r="AW43" i="18"/>
  <c r="AV43" i="18"/>
  <c r="AW42" i="18"/>
  <c r="AV42" i="18"/>
  <c r="AW41" i="18"/>
  <c r="AV41" i="18"/>
  <c r="AW40" i="18"/>
  <c r="AV40" i="18"/>
  <c r="AW39" i="18"/>
  <c r="AV39" i="18"/>
  <c r="AW38" i="18"/>
  <c r="AV38" i="18"/>
  <c r="AW37" i="18"/>
  <c r="AV37" i="18"/>
  <c r="AW36" i="18"/>
  <c r="AV36" i="18"/>
  <c r="AW35" i="18"/>
  <c r="AV35" i="18"/>
  <c r="AW34" i="18"/>
  <c r="AV34" i="18"/>
  <c r="AW33" i="18"/>
  <c r="AV33" i="18"/>
  <c r="AW32" i="18"/>
  <c r="AV32" i="18"/>
  <c r="AW31" i="18"/>
  <c r="AV31" i="18"/>
  <c r="AW30" i="18"/>
  <c r="AV30" i="18"/>
  <c r="AW29" i="18"/>
  <c r="AV29" i="18"/>
  <c r="AW28" i="18"/>
  <c r="AV28" i="18"/>
  <c r="AW27" i="18"/>
  <c r="AV27" i="18"/>
  <c r="AW26" i="18"/>
  <c r="AV26" i="18"/>
  <c r="AW25" i="18"/>
  <c r="AV25" i="18"/>
  <c r="AW24" i="18"/>
  <c r="AV24" i="18"/>
  <c r="AW23" i="18"/>
  <c r="AV23" i="18"/>
  <c r="AW22" i="18"/>
  <c r="AV22" i="18"/>
  <c r="AW21" i="18"/>
  <c r="AV21" i="18"/>
  <c r="AW20" i="18"/>
  <c r="AV20" i="18"/>
  <c r="AW19" i="18"/>
  <c r="AV19" i="18"/>
  <c r="AW18" i="18"/>
  <c r="AV18" i="18"/>
  <c r="AW17" i="18"/>
  <c r="AV17" i="18"/>
  <c r="AW16" i="18"/>
  <c r="AV16" i="18"/>
  <c r="AW15" i="18"/>
  <c r="AV15" i="18"/>
  <c r="AW14" i="18"/>
  <c r="AV14" i="18"/>
  <c r="AW13" i="18"/>
  <c r="AV13" i="18"/>
  <c r="AW12" i="18"/>
  <c r="AV12" i="18"/>
  <c r="AW11" i="18"/>
  <c r="AV11" i="18"/>
  <c r="AV10" i="18"/>
  <c r="AW10" i="18"/>
  <c r="AW8" i="18"/>
  <c r="AV8" i="18"/>
  <c r="AU8" i="18"/>
  <c r="AT8" i="18"/>
  <c r="AS8" i="18"/>
  <c r="AW7" i="18"/>
  <c r="AB47" i="18"/>
  <c r="V47" i="18"/>
  <c r="AN47" i="18" s="1"/>
  <c r="AQ130" i="18"/>
  <c r="AP130" i="18"/>
  <c r="AO130" i="18"/>
  <c r="AN130" i="18"/>
  <c r="AM130" i="18"/>
  <c r="AQ129" i="18"/>
  <c r="AP129" i="18"/>
  <c r="AO129" i="18"/>
  <c r="AN129" i="18"/>
  <c r="AM129" i="18"/>
  <c r="AQ128" i="18"/>
  <c r="AP128" i="18"/>
  <c r="AO128" i="18"/>
  <c r="AN128" i="18"/>
  <c r="AM128" i="18"/>
  <c r="AQ127" i="18"/>
  <c r="AP127" i="18"/>
  <c r="AO127" i="18"/>
  <c r="AN127" i="18"/>
  <c r="AM127" i="18"/>
  <c r="AQ126" i="18"/>
  <c r="AP126" i="18"/>
  <c r="AO126" i="18"/>
  <c r="AN126" i="18"/>
  <c r="AM126" i="18"/>
  <c r="AQ125" i="18"/>
  <c r="AP125" i="18"/>
  <c r="AO125" i="18"/>
  <c r="AN125" i="18"/>
  <c r="AM125" i="18"/>
  <c r="AQ124" i="18"/>
  <c r="AP124" i="18"/>
  <c r="AO124" i="18"/>
  <c r="AN124" i="18"/>
  <c r="AM124" i="18"/>
  <c r="AQ123" i="18"/>
  <c r="AP123" i="18"/>
  <c r="AO123" i="18"/>
  <c r="AN123" i="18"/>
  <c r="AM123" i="18"/>
  <c r="AQ122" i="18"/>
  <c r="AP122" i="18"/>
  <c r="AO122" i="18"/>
  <c r="AN122" i="18"/>
  <c r="AM122" i="18"/>
  <c r="AQ121" i="18"/>
  <c r="AP121" i="18"/>
  <c r="AO121" i="18"/>
  <c r="AN121" i="18"/>
  <c r="AM121" i="18"/>
  <c r="AQ120" i="18"/>
  <c r="AP120" i="18"/>
  <c r="AO120" i="18"/>
  <c r="AN120" i="18"/>
  <c r="AM120" i="18"/>
  <c r="AQ119" i="18"/>
  <c r="AP119" i="18"/>
  <c r="AO119" i="18"/>
  <c r="AN119" i="18"/>
  <c r="AM119" i="18"/>
  <c r="AQ118" i="18"/>
  <c r="AP118" i="18"/>
  <c r="AO118" i="18"/>
  <c r="AN118" i="18"/>
  <c r="AM118" i="18"/>
  <c r="AQ117" i="18"/>
  <c r="AP117" i="18"/>
  <c r="AO117" i="18"/>
  <c r="AN117" i="18"/>
  <c r="AM117" i="18"/>
  <c r="AQ116" i="18"/>
  <c r="AP116" i="18"/>
  <c r="AO116" i="18"/>
  <c r="AN116" i="18"/>
  <c r="AM116" i="18"/>
  <c r="AQ115" i="18"/>
  <c r="AP115" i="18"/>
  <c r="AO115" i="18"/>
  <c r="AN115" i="18"/>
  <c r="AM115" i="18"/>
  <c r="AQ114" i="18"/>
  <c r="AP114" i="18"/>
  <c r="AO114" i="18"/>
  <c r="AN114" i="18"/>
  <c r="AM114" i="18"/>
  <c r="AQ113" i="18"/>
  <c r="AP113" i="18"/>
  <c r="AO113" i="18"/>
  <c r="AN113" i="18"/>
  <c r="AM113" i="18"/>
  <c r="AQ112" i="18"/>
  <c r="AP112" i="18"/>
  <c r="AO112" i="18"/>
  <c r="AN112" i="18"/>
  <c r="AM112" i="18"/>
  <c r="AQ111" i="18"/>
  <c r="AP111" i="18"/>
  <c r="AO111" i="18"/>
  <c r="AN111" i="18"/>
  <c r="AM111" i="18"/>
  <c r="AQ110" i="18"/>
  <c r="AP110" i="18"/>
  <c r="AO110" i="18"/>
  <c r="AN110" i="18"/>
  <c r="AM110" i="18"/>
  <c r="AQ109" i="18"/>
  <c r="AP109" i="18"/>
  <c r="AO109" i="18"/>
  <c r="AN109" i="18"/>
  <c r="AM109" i="18"/>
  <c r="AQ108" i="18"/>
  <c r="AP108" i="18"/>
  <c r="AO108" i="18"/>
  <c r="AN108" i="18"/>
  <c r="AM108" i="18"/>
  <c r="AQ107" i="18"/>
  <c r="AP107" i="18"/>
  <c r="AO107" i="18"/>
  <c r="AN107" i="18"/>
  <c r="AM107" i="18"/>
  <c r="AQ106" i="18"/>
  <c r="AP106" i="18"/>
  <c r="AO106" i="18"/>
  <c r="AN106" i="18"/>
  <c r="AM106" i="18"/>
  <c r="AQ105" i="18"/>
  <c r="AP105" i="18"/>
  <c r="AO105" i="18"/>
  <c r="AN105" i="18"/>
  <c r="AM105" i="18"/>
  <c r="AQ104" i="18"/>
  <c r="AP104" i="18"/>
  <c r="AO104" i="18"/>
  <c r="AN104" i="18"/>
  <c r="AM104" i="18"/>
  <c r="AQ103" i="18"/>
  <c r="AP103" i="18"/>
  <c r="AO103" i="18"/>
  <c r="AN103" i="18"/>
  <c r="AM103" i="18"/>
  <c r="AQ102" i="18"/>
  <c r="AP102" i="18"/>
  <c r="AO102" i="18"/>
  <c r="AN102" i="18"/>
  <c r="AM102" i="18"/>
  <c r="AQ101" i="18"/>
  <c r="AP101" i="18"/>
  <c r="AO101" i="18"/>
  <c r="AN101" i="18"/>
  <c r="AM101" i="18"/>
  <c r="AQ100" i="18"/>
  <c r="AP100" i="18"/>
  <c r="AO100" i="18"/>
  <c r="AN100" i="18"/>
  <c r="AM100" i="18"/>
  <c r="AQ99" i="18"/>
  <c r="AP99" i="18"/>
  <c r="AO99" i="18"/>
  <c r="AN99" i="18"/>
  <c r="AM99" i="18"/>
  <c r="AQ98" i="18"/>
  <c r="AP98" i="18"/>
  <c r="AO98" i="18"/>
  <c r="AN98" i="18"/>
  <c r="AM98" i="18"/>
  <c r="AQ97" i="18"/>
  <c r="AP97" i="18"/>
  <c r="AO97" i="18"/>
  <c r="AN97" i="18"/>
  <c r="AM97" i="18"/>
  <c r="AQ96" i="18"/>
  <c r="AP96" i="18"/>
  <c r="AO96" i="18"/>
  <c r="AN96" i="18"/>
  <c r="AM96" i="18"/>
  <c r="AQ95" i="18"/>
  <c r="AP95" i="18"/>
  <c r="AO95" i="18"/>
  <c r="AN95" i="18"/>
  <c r="AM95" i="18"/>
  <c r="AQ94" i="18"/>
  <c r="AP94" i="18"/>
  <c r="AO94" i="18"/>
  <c r="AN94" i="18"/>
  <c r="AM94" i="18"/>
  <c r="AQ93" i="18"/>
  <c r="AP93" i="18"/>
  <c r="AO93" i="18"/>
  <c r="AN93" i="18"/>
  <c r="AM93" i="18"/>
  <c r="AQ92" i="18"/>
  <c r="AP92" i="18"/>
  <c r="AO92" i="18"/>
  <c r="AN92" i="18"/>
  <c r="AM92" i="18"/>
  <c r="AQ91" i="18"/>
  <c r="AP91" i="18"/>
  <c r="AO91" i="18"/>
  <c r="AN91" i="18"/>
  <c r="AM91" i="18"/>
  <c r="AQ90" i="18"/>
  <c r="AP90" i="18"/>
  <c r="AO90" i="18"/>
  <c r="AN90" i="18"/>
  <c r="AM90" i="18"/>
  <c r="AQ89" i="18"/>
  <c r="AP89" i="18"/>
  <c r="AO89" i="18"/>
  <c r="AN89" i="18"/>
  <c r="AM89" i="18"/>
  <c r="AQ88" i="18"/>
  <c r="AP88" i="18"/>
  <c r="AO88" i="18"/>
  <c r="AN88" i="18"/>
  <c r="AM88" i="18"/>
  <c r="AQ87" i="18"/>
  <c r="AP87" i="18"/>
  <c r="AO87" i="18"/>
  <c r="AN87" i="18"/>
  <c r="AM87" i="18"/>
  <c r="AQ86" i="18"/>
  <c r="AP86" i="18"/>
  <c r="AO86" i="18"/>
  <c r="AN86" i="18"/>
  <c r="AM86" i="18"/>
  <c r="AQ85" i="18"/>
  <c r="AP85" i="18"/>
  <c r="AO85" i="18"/>
  <c r="AN85" i="18"/>
  <c r="AM85" i="18"/>
  <c r="AQ84" i="18"/>
  <c r="AP84" i="18"/>
  <c r="AO84" i="18"/>
  <c r="AN84" i="18"/>
  <c r="AM84" i="18"/>
  <c r="AQ83" i="18"/>
  <c r="AP83" i="18"/>
  <c r="AO83" i="18"/>
  <c r="AN83" i="18"/>
  <c r="AM83" i="18"/>
  <c r="AQ82" i="18"/>
  <c r="AP82" i="18"/>
  <c r="AO82" i="18"/>
  <c r="AN82" i="18"/>
  <c r="AM82" i="18"/>
  <c r="AQ81" i="18"/>
  <c r="AP81" i="18"/>
  <c r="AO81" i="18"/>
  <c r="AN81" i="18"/>
  <c r="AM81" i="18"/>
  <c r="AQ80" i="18"/>
  <c r="AP80" i="18"/>
  <c r="AO80" i="18"/>
  <c r="AN80" i="18"/>
  <c r="AM80" i="18"/>
  <c r="AQ79" i="18"/>
  <c r="AP79" i="18"/>
  <c r="AO79" i="18"/>
  <c r="AN79" i="18"/>
  <c r="AM79" i="18"/>
  <c r="AQ78" i="18"/>
  <c r="AP78" i="18"/>
  <c r="AO78" i="18"/>
  <c r="AN78" i="18"/>
  <c r="AM78" i="18"/>
  <c r="AQ77" i="18"/>
  <c r="AP77" i="18"/>
  <c r="AO77" i="18"/>
  <c r="AN77" i="18"/>
  <c r="AM77" i="18"/>
  <c r="AQ76" i="18"/>
  <c r="AP76" i="18"/>
  <c r="AO76" i="18"/>
  <c r="AN76" i="18"/>
  <c r="AM76" i="18"/>
  <c r="AQ75" i="18"/>
  <c r="AP75" i="18"/>
  <c r="AO75" i="18"/>
  <c r="AN75" i="18"/>
  <c r="AM75" i="18"/>
  <c r="AQ74" i="18"/>
  <c r="AP74" i="18"/>
  <c r="AO74" i="18"/>
  <c r="AN74" i="18"/>
  <c r="AM74" i="18"/>
  <c r="AQ73" i="18"/>
  <c r="AP73" i="18"/>
  <c r="AO73" i="18"/>
  <c r="AN73" i="18"/>
  <c r="AM73" i="18"/>
  <c r="AQ72" i="18"/>
  <c r="AP72" i="18"/>
  <c r="AO72" i="18"/>
  <c r="AN72" i="18"/>
  <c r="AM72" i="18"/>
  <c r="AQ71" i="18"/>
  <c r="AP71" i="18"/>
  <c r="AO71" i="18"/>
  <c r="AN71" i="18"/>
  <c r="AM71" i="18"/>
  <c r="AQ70" i="18"/>
  <c r="AP70" i="18"/>
  <c r="AO70" i="18"/>
  <c r="AN70" i="18"/>
  <c r="AM70" i="18"/>
  <c r="AQ69" i="18"/>
  <c r="AP69" i="18"/>
  <c r="AO69" i="18"/>
  <c r="AN69" i="18"/>
  <c r="AM69" i="18"/>
  <c r="AQ68" i="18"/>
  <c r="AP68" i="18"/>
  <c r="AO68" i="18"/>
  <c r="AN68" i="18"/>
  <c r="AM68" i="18"/>
  <c r="AQ67" i="18"/>
  <c r="AP67" i="18"/>
  <c r="AO67" i="18"/>
  <c r="AN67" i="18"/>
  <c r="AM67" i="18"/>
  <c r="AQ66" i="18"/>
  <c r="AP66" i="18"/>
  <c r="AO66" i="18"/>
  <c r="AN66" i="18"/>
  <c r="AQ65" i="18"/>
  <c r="AP65" i="18"/>
  <c r="AO65" i="18"/>
  <c r="AN65" i="18"/>
  <c r="AQ64" i="18"/>
  <c r="AP64" i="18"/>
  <c r="AO64" i="18"/>
  <c r="AN64" i="18"/>
  <c r="AQ63" i="18"/>
  <c r="AP63" i="18"/>
  <c r="AO63" i="18"/>
  <c r="AN63" i="18"/>
  <c r="AQ62" i="18"/>
  <c r="AP62" i="18"/>
  <c r="AO62" i="18"/>
  <c r="AN62" i="18"/>
  <c r="AQ61" i="18"/>
  <c r="AP61" i="18"/>
  <c r="AO61" i="18"/>
  <c r="AN61" i="18"/>
  <c r="AQ60" i="18"/>
  <c r="AP60" i="18"/>
  <c r="AO60" i="18"/>
  <c r="AN60" i="18"/>
  <c r="AQ59" i="18"/>
  <c r="AP59" i="18"/>
  <c r="AO59" i="18"/>
  <c r="AN59" i="18"/>
  <c r="AQ58" i="18"/>
  <c r="AP58" i="18"/>
  <c r="AO58" i="18"/>
  <c r="AN58" i="18"/>
  <c r="AQ57" i="18"/>
  <c r="AP57" i="18"/>
  <c r="AO57" i="18"/>
  <c r="AN57" i="18"/>
  <c r="AQ56" i="18"/>
  <c r="AP56" i="18"/>
  <c r="AO56" i="18"/>
  <c r="AN56" i="18"/>
  <c r="AQ55" i="18"/>
  <c r="AP55" i="18"/>
  <c r="AO55" i="18"/>
  <c r="AN55" i="18"/>
  <c r="AQ54" i="18"/>
  <c r="AP54" i="18"/>
  <c r="AO54" i="18"/>
  <c r="AN54" i="18"/>
  <c r="AQ53" i="18"/>
  <c r="AP53" i="18"/>
  <c r="AO53" i="18"/>
  <c r="AN53" i="18"/>
  <c r="AQ52" i="18"/>
  <c r="AP52" i="18"/>
  <c r="AO52" i="18"/>
  <c r="AN52" i="18"/>
  <c r="AQ51" i="18"/>
  <c r="AP51" i="18"/>
  <c r="AO51" i="18"/>
  <c r="AN51" i="18"/>
  <c r="AQ50" i="18"/>
  <c r="AP50" i="18"/>
  <c r="AO50" i="18"/>
  <c r="AN50" i="18"/>
  <c r="AQ49" i="18"/>
  <c r="AP49" i="18"/>
  <c r="AO49" i="18"/>
  <c r="AN49" i="18"/>
  <c r="AQ48" i="18"/>
  <c r="AP48" i="18"/>
  <c r="AO48" i="18"/>
  <c r="AN48" i="18"/>
  <c r="AQ47" i="18"/>
  <c r="AP47" i="18"/>
  <c r="AO47" i="18"/>
  <c r="AQ46" i="18"/>
  <c r="AP46" i="18"/>
  <c r="AO46" i="18"/>
  <c r="AQ45" i="18"/>
  <c r="AP45" i="18"/>
  <c r="AO45" i="18"/>
  <c r="AQ44" i="18"/>
  <c r="AP44" i="18"/>
  <c r="AO44" i="18"/>
  <c r="AQ43" i="18"/>
  <c r="AP43" i="18"/>
  <c r="AO43" i="18"/>
  <c r="AQ42" i="18"/>
  <c r="AP42" i="18"/>
  <c r="AO42" i="18"/>
  <c r="AQ41" i="18"/>
  <c r="AP41" i="18"/>
  <c r="AO41" i="18"/>
  <c r="AQ40" i="18"/>
  <c r="AP40" i="18"/>
  <c r="AO40" i="18"/>
  <c r="AQ39" i="18"/>
  <c r="AP39" i="18"/>
  <c r="AO39" i="18"/>
  <c r="AQ38" i="18"/>
  <c r="AP38" i="18"/>
  <c r="AO38" i="18"/>
  <c r="AQ37" i="18"/>
  <c r="AP37" i="18"/>
  <c r="AO37" i="18"/>
  <c r="AQ36" i="18"/>
  <c r="AP36" i="18"/>
  <c r="AO36" i="18"/>
  <c r="AQ35" i="18"/>
  <c r="AP35" i="18"/>
  <c r="AO35" i="18"/>
  <c r="AQ34" i="18"/>
  <c r="AP34" i="18"/>
  <c r="AO34" i="18"/>
  <c r="AQ33" i="18"/>
  <c r="AP33" i="18"/>
  <c r="AO33" i="18"/>
  <c r="AQ32" i="18"/>
  <c r="AP32" i="18"/>
  <c r="AO32" i="18"/>
  <c r="AQ31" i="18"/>
  <c r="AP31" i="18"/>
  <c r="AO31" i="18"/>
  <c r="AQ30" i="18"/>
  <c r="AP30" i="18"/>
  <c r="AO30" i="18"/>
  <c r="AQ29" i="18"/>
  <c r="AP29" i="18"/>
  <c r="AO29" i="18"/>
  <c r="AQ28" i="18"/>
  <c r="AP28" i="18"/>
  <c r="AO28" i="18"/>
  <c r="AQ27" i="18"/>
  <c r="AP27" i="18"/>
  <c r="AO27" i="18"/>
  <c r="AQ26" i="18"/>
  <c r="AP26" i="18"/>
  <c r="AQ25" i="18"/>
  <c r="AP25" i="18"/>
  <c r="AQ24" i="18"/>
  <c r="AP24" i="18"/>
  <c r="AQ23" i="18"/>
  <c r="AP23" i="18"/>
  <c r="AQ22" i="18"/>
  <c r="AP22" i="18"/>
  <c r="AQ21" i="18"/>
  <c r="AP21" i="18"/>
  <c r="AQ20" i="18"/>
  <c r="AP20" i="18"/>
  <c r="AQ19" i="18"/>
  <c r="AP19" i="18"/>
  <c r="AQ18" i="18"/>
  <c r="AP18" i="18"/>
  <c r="AQ17" i="18"/>
  <c r="AP17" i="18"/>
  <c r="AQ16" i="18"/>
  <c r="AP16" i="18"/>
  <c r="AQ15" i="18"/>
  <c r="AP15" i="18"/>
  <c r="AQ14" i="18"/>
  <c r="AP14" i="18"/>
  <c r="AQ13" i="18"/>
  <c r="AP13" i="18"/>
  <c r="AQ12" i="18"/>
  <c r="AP12" i="18"/>
  <c r="AQ11" i="18"/>
  <c r="AP11" i="18"/>
  <c r="AP10" i="18"/>
  <c r="AQ10" i="18"/>
  <c r="AQ8" i="18"/>
  <c r="AP8" i="18"/>
  <c r="AO8" i="18"/>
  <c r="AN8" i="18"/>
  <c r="AM8" i="18"/>
  <c r="AQ7" i="18"/>
  <c r="AK8" i="18"/>
  <c r="AJ8" i="18"/>
  <c r="AI8" i="18"/>
  <c r="AH8" i="18"/>
  <c r="AG8" i="18"/>
  <c r="AK7" i="18"/>
  <c r="AE159" i="18"/>
  <c r="AD159" i="18"/>
  <c r="AC159" i="18"/>
  <c r="AB159" i="18"/>
  <c r="AE158" i="18"/>
  <c r="AD158" i="18"/>
  <c r="AC158" i="18"/>
  <c r="AB158" i="18"/>
  <c r="AB157" i="18" s="1"/>
  <c r="AB156" i="18" s="1"/>
  <c r="AB155" i="18" s="1"/>
  <c r="AB154" i="18" s="1"/>
  <c r="AB153" i="18" s="1"/>
  <c r="AB152" i="18" s="1"/>
  <c r="AB151" i="18" s="1"/>
  <c r="AB150" i="18" s="1"/>
  <c r="AB149" i="18" s="1"/>
  <c r="AB148" i="18" s="1"/>
  <c r="AB147" i="18" s="1"/>
  <c r="AB146" i="18" s="1"/>
  <c r="AB145" i="18" s="1"/>
  <c r="AB144" i="18" s="1"/>
  <c r="AB143" i="18" s="1"/>
  <c r="AB142" i="18" s="1"/>
  <c r="AB141" i="18" s="1"/>
  <c r="AB140" i="18" s="1"/>
  <c r="AB139" i="18" s="1"/>
  <c r="AB138" i="18" s="1"/>
  <c r="AB137" i="18" s="1"/>
  <c r="AB136" i="18" s="1"/>
  <c r="AB135" i="18" s="1"/>
  <c r="AB134" i="18" s="1"/>
  <c r="AB133" i="18" s="1"/>
  <c r="AB132" i="18" s="1"/>
  <c r="AB131" i="18" s="1"/>
  <c r="AB130" i="18" s="1"/>
  <c r="AB129" i="18" s="1"/>
  <c r="AB128" i="18" s="1"/>
  <c r="AB127" i="18" s="1"/>
  <c r="AB126" i="18" s="1"/>
  <c r="AB125" i="18" s="1"/>
  <c r="AB124" i="18" s="1"/>
  <c r="AB123" i="18" s="1"/>
  <c r="AB122" i="18" s="1"/>
  <c r="AB121" i="18" s="1"/>
  <c r="AB120" i="18" s="1"/>
  <c r="AB119" i="18" s="1"/>
  <c r="AB118" i="18" s="1"/>
  <c r="AB117" i="18" s="1"/>
  <c r="AB116" i="18" s="1"/>
  <c r="AB115" i="18" s="1"/>
  <c r="AB114" i="18" s="1"/>
  <c r="AB113" i="18" s="1"/>
  <c r="AB112" i="18" s="1"/>
  <c r="AB111" i="18" s="1"/>
  <c r="AB110" i="18" s="1"/>
  <c r="AB109" i="18" s="1"/>
  <c r="AB108" i="18" s="1"/>
  <c r="AB107" i="18" s="1"/>
  <c r="AB106" i="18" s="1"/>
  <c r="AB105" i="18" s="1"/>
  <c r="AB104" i="18" s="1"/>
  <c r="AB103" i="18" s="1"/>
  <c r="AB102" i="18" s="1"/>
  <c r="AB101" i="18" s="1"/>
  <c r="AB100" i="18" s="1"/>
  <c r="AB99" i="18" s="1"/>
  <c r="AB98" i="18" s="1"/>
  <c r="AB97" i="18" s="1"/>
  <c r="AB96" i="18" s="1"/>
  <c r="AB95" i="18" s="1"/>
  <c r="AB94" i="18" s="1"/>
  <c r="AB93" i="18" s="1"/>
  <c r="AB92" i="18" s="1"/>
  <c r="AB91" i="18" s="1"/>
  <c r="AB90" i="18" s="1"/>
  <c r="AB89" i="18" s="1"/>
  <c r="AB88" i="18" s="1"/>
  <c r="AB87" i="18" s="1"/>
  <c r="AB86" i="18" s="1"/>
  <c r="AB85" i="18" s="1"/>
  <c r="AB84" i="18" s="1"/>
  <c r="AB83" i="18" s="1"/>
  <c r="AB82" i="18" s="1"/>
  <c r="AB81" i="18" s="1"/>
  <c r="AB80" i="18" s="1"/>
  <c r="AB79" i="18" s="1"/>
  <c r="AB78" i="18" s="1"/>
  <c r="AB77" i="18" s="1"/>
  <c r="AB76" i="18" s="1"/>
  <c r="AB75" i="18" s="1"/>
  <c r="AB74" i="18" s="1"/>
  <c r="AB73" i="18" s="1"/>
  <c r="AB72" i="18" s="1"/>
  <c r="AB71" i="18" s="1"/>
  <c r="AB70" i="18" s="1"/>
  <c r="AB69" i="18" s="1"/>
  <c r="AB68" i="18" s="1"/>
  <c r="AB67" i="18" s="1"/>
  <c r="AB66" i="18" s="1"/>
  <c r="AB65" i="18" s="1"/>
  <c r="AB64" i="18" s="1"/>
  <c r="AB63" i="18" s="1"/>
  <c r="AB62" i="18" s="1"/>
  <c r="AB61" i="18" s="1"/>
  <c r="AB60" i="18" s="1"/>
  <c r="AB59" i="18" s="1"/>
  <c r="AB58" i="18" s="1"/>
  <c r="AB57" i="18" s="1"/>
  <c r="AB56" i="18" s="1"/>
  <c r="AB55" i="18" s="1"/>
  <c r="AB54" i="18" s="1"/>
  <c r="AB53" i="18" s="1"/>
  <c r="AB52" i="18" s="1"/>
  <c r="AB51" i="18" s="1"/>
  <c r="AB50" i="18" s="1"/>
  <c r="AB49" i="18" s="1"/>
  <c r="AB48" i="18" s="1"/>
  <c r="AA158" i="18"/>
  <c r="AA157" i="18" s="1"/>
  <c r="AA156" i="18" s="1"/>
  <c r="AA155" i="18" s="1"/>
  <c r="AA154" i="18" s="1"/>
  <c r="AA153" i="18" s="1"/>
  <c r="AA152" i="18" s="1"/>
  <c r="AA151" i="18" s="1"/>
  <c r="AA150" i="18" s="1"/>
  <c r="AA149" i="18" s="1"/>
  <c r="AA148" i="18" s="1"/>
  <c r="AA147" i="18" s="1"/>
  <c r="AA146" i="18" s="1"/>
  <c r="AA145" i="18" s="1"/>
  <c r="AA144" i="18" s="1"/>
  <c r="AA143" i="18" s="1"/>
  <c r="AA142" i="18" s="1"/>
  <c r="AA141" i="18" s="1"/>
  <c r="AA140" i="18" s="1"/>
  <c r="AA139" i="18" s="1"/>
  <c r="AA138" i="18" s="1"/>
  <c r="AA137" i="18" s="1"/>
  <c r="AA136" i="18" s="1"/>
  <c r="AA135" i="18" s="1"/>
  <c r="AA134" i="18" s="1"/>
  <c r="AA133" i="18" s="1"/>
  <c r="AA132" i="18" s="1"/>
  <c r="AA131" i="18" s="1"/>
  <c r="AA130" i="18" s="1"/>
  <c r="AA129" i="18" s="1"/>
  <c r="AA128" i="18" s="1"/>
  <c r="AA127" i="18" s="1"/>
  <c r="AA126" i="18" s="1"/>
  <c r="AA125" i="18" s="1"/>
  <c r="AA124" i="18" s="1"/>
  <c r="AA123" i="18" s="1"/>
  <c r="AA122" i="18" s="1"/>
  <c r="AA121" i="18" s="1"/>
  <c r="AA120" i="18" s="1"/>
  <c r="AA119" i="18" s="1"/>
  <c r="AA118" i="18" s="1"/>
  <c r="AA117" i="18" s="1"/>
  <c r="AA116" i="18" s="1"/>
  <c r="AA115" i="18" s="1"/>
  <c r="AA114" i="18" s="1"/>
  <c r="AA113" i="18" s="1"/>
  <c r="AA112" i="18" s="1"/>
  <c r="AA111" i="18" s="1"/>
  <c r="AA110" i="18" s="1"/>
  <c r="AA109" i="18" s="1"/>
  <c r="AA108" i="18" s="1"/>
  <c r="AA107" i="18" s="1"/>
  <c r="AA106" i="18" s="1"/>
  <c r="AA105" i="18" s="1"/>
  <c r="AA104" i="18" s="1"/>
  <c r="AA103" i="18" s="1"/>
  <c r="AA102" i="18" s="1"/>
  <c r="AA101" i="18" s="1"/>
  <c r="AA100" i="18" s="1"/>
  <c r="AA99" i="18" s="1"/>
  <c r="AA98" i="18" s="1"/>
  <c r="AA97" i="18" s="1"/>
  <c r="AA96" i="18" s="1"/>
  <c r="AA95" i="18" s="1"/>
  <c r="AA94" i="18" s="1"/>
  <c r="AA93" i="18" s="1"/>
  <c r="AA92" i="18" s="1"/>
  <c r="AA91" i="18" s="1"/>
  <c r="AA90" i="18" s="1"/>
  <c r="AA89" i="18" s="1"/>
  <c r="AA88" i="18" s="1"/>
  <c r="AA87" i="18" s="1"/>
  <c r="AA86" i="18" s="1"/>
  <c r="AA85" i="18" s="1"/>
  <c r="AA84" i="18" s="1"/>
  <c r="AA83" i="18" s="1"/>
  <c r="AA82" i="18" s="1"/>
  <c r="AA81" i="18" s="1"/>
  <c r="AA80" i="18" s="1"/>
  <c r="AA79" i="18" s="1"/>
  <c r="AA78" i="18" s="1"/>
  <c r="AA77" i="18" s="1"/>
  <c r="AA76" i="18" s="1"/>
  <c r="AA75" i="18" s="1"/>
  <c r="AA74" i="18" s="1"/>
  <c r="AA73" i="18" s="1"/>
  <c r="AA72" i="18" s="1"/>
  <c r="AA71" i="18" s="1"/>
  <c r="AA70" i="18" s="1"/>
  <c r="AA69" i="18" s="1"/>
  <c r="AA68" i="18" s="1"/>
  <c r="AA67" i="18" s="1"/>
  <c r="AE157" i="18"/>
  <c r="AE156" i="18" s="1"/>
  <c r="AE155" i="18" s="1"/>
  <c r="AE154" i="18" s="1"/>
  <c r="AE153" i="18" s="1"/>
  <c r="AE152" i="18" s="1"/>
  <c r="AE151" i="18" s="1"/>
  <c r="AE150" i="18" s="1"/>
  <c r="AE149" i="18" s="1"/>
  <c r="AE148" i="18" s="1"/>
  <c r="AE147" i="18" s="1"/>
  <c r="AE146" i="18" s="1"/>
  <c r="AE145" i="18" s="1"/>
  <c r="AE144" i="18" s="1"/>
  <c r="AE143" i="18" s="1"/>
  <c r="AE142" i="18" s="1"/>
  <c r="AE141" i="18" s="1"/>
  <c r="AE140" i="18" s="1"/>
  <c r="AE139" i="18" s="1"/>
  <c r="AE138" i="18" s="1"/>
  <c r="AE137" i="18" s="1"/>
  <c r="AE136" i="18" s="1"/>
  <c r="AE135" i="18" s="1"/>
  <c r="AE134" i="18" s="1"/>
  <c r="AE133" i="18" s="1"/>
  <c r="AE132" i="18" s="1"/>
  <c r="AE131" i="18" s="1"/>
  <c r="AE130" i="18" s="1"/>
  <c r="AE129" i="18" s="1"/>
  <c r="AE128" i="18" s="1"/>
  <c r="AE127" i="18" s="1"/>
  <c r="AE126" i="18" s="1"/>
  <c r="AE125" i="18" s="1"/>
  <c r="AE124" i="18" s="1"/>
  <c r="AE123" i="18" s="1"/>
  <c r="AE122" i="18" s="1"/>
  <c r="AE121" i="18" s="1"/>
  <c r="AE120" i="18" s="1"/>
  <c r="AE119" i="18" s="1"/>
  <c r="AE118" i="18" s="1"/>
  <c r="AE117" i="18" s="1"/>
  <c r="AE116" i="18" s="1"/>
  <c r="AE115" i="18" s="1"/>
  <c r="AE114" i="18" s="1"/>
  <c r="AE113" i="18" s="1"/>
  <c r="AE112" i="18" s="1"/>
  <c r="AE111" i="18" s="1"/>
  <c r="AE110" i="18" s="1"/>
  <c r="AE109" i="18" s="1"/>
  <c r="AE108" i="18" s="1"/>
  <c r="AE107" i="18" s="1"/>
  <c r="AE106" i="18" s="1"/>
  <c r="AE105" i="18" s="1"/>
  <c r="AE104" i="18" s="1"/>
  <c r="AE103" i="18" s="1"/>
  <c r="AE102" i="18" s="1"/>
  <c r="AE101" i="18" s="1"/>
  <c r="AE100" i="18" s="1"/>
  <c r="AE99" i="18" s="1"/>
  <c r="AE98" i="18" s="1"/>
  <c r="AE97" i="18" s="1"/>
  <c r="AE96" i="18" s="1"/>
  <c r="AE95" i="18" s="1"/>
  <c r="AE94" i="18" s="1"/>
  <c r="AE93" i="18" s="1"/>
  <c r="AE92" i="18" s="1"/>
  <c r="AE91" i="18" s="1"/>
  <c r="AE90" i="18" s="1"/>
  <c r="AE89" i="18" s="1"/>
  <c r="AE88" i="18" s="1"/>
  <c r="AE87" i="18" s="1"/>
  <c r="AE86" i="18" s="1"/>
  <c r="AE85" i="18" s="1"/>
  <c r="AE84" i="18" s="1"/>
  <c r="AE83" i="18" s="1"/>
  <c r="AE82" i="18" s="1"/>
  <c r="AE81" i="18" s="1"/>
  <c r="AE80" i="18" s="1"/>
  <c r="AE79" i="18" s="1"/>
  <c r="AE78" i="18" s="1"/>
  <c r="AE77" i="18" s="1"/>
  <c r="AE76" i="18" s="1"/>
  <c r="AE75" i="18" s="1"/>
  <c r="AE74" i="18" s="1"/>
  <c r="AE73" i="18" s="1"/>
  <c r="AE72" i="18" s="1"/>
  <c r="AE71" i="18" s="1"/>
  <c r="AE70" i="18" s="1"/>
  <c r="AE69" i="18" s="1"/>
  <c r="AE68" i="18" s="1"/>
  <c r="AE67" i="18" s="1"/>
  <c r="AE66" i="18" s="1"/>
  <c r="AE65" i="18" s="1"/>
  <c r="AE64" i="18" s="1"/>
  <c r="AE63" i="18" s="1"/>
  <c r="AE62" i="18" s="1"/>
  <c r="AE61" i="18" s="1"/>
  <c r="AE60" i="18" s="1"/>
  <c r="AE59" i="18" s="1"/>
  <c r="AE58" i="18" s="1"/>
  <c r="AE57" i="18" s="1"/>
  <c r="AE56" i="18" s="1"/>
  <c r="AE55" i="18" s="1"/>
  <c r="AE54" i="18" s="1"/>
  <c r="AE53" i="18" s="1"/>
  <c r="AE52" i="18" s="1"/>
  <c r="AE51" i="18" s="1"/>
  <c r="AE50" i="18" s="1"/>
  <c r="AE49" i="18" s="1"/>
  <c r="AE48" i="18" s="1"/>
  <c r="AE47" i="18" s="1"/>
  <c r="AE46" i="18" s="1"/>
  <c r="AE45" i="18" s="1"/>
  <c r="AE44" i="18" s="1"/>
  <c r="AE43" i="18" s="1"/>
  <c r="AE42" i="18" s="1"/>
  <c r="AE41" i="18" s="1"/>
  <c r="AE40" i="18" s="1"/>
  <c r="AE39" i="18" s="1"/>
  <c r="AE38" i="18" s="1"/>
  <c r="AE37" i="18" s="1"/>
  <c r="AE36" i="18" s="1"/>
  <c r="AE35" i="18" s="1"/>
  <c r="AE34" i="18" s="1"/>
  <c r="AE33" i="18" s="1"/>
  <c r="AE32" i="18" s="1"/>
  <c r="AE31" i="18" s="1"/>
  <c r="AE30" i="18" s="1"/>
  <c r="AE29" i="18" s="1"/>
  <c r="AE28" i="18" s="1"/>
  <c r="AE27" i="18" s="1"/>
  <c r="AE26" i="18" s="1"/>
  <c r="AE25" i="18" s="1"/>
  <c r="AE24" i="18" s="1"/>
  <c r="AE23" i="18" s="1"/>
  <c r="AE22" i="18" s="1"/>
  <c r="AE21" i="18" s="1"/>
  <c r="AE20" i="18" s="1"/>
  <c r="AE19" i="18" s="1"/>
  <c r="AE18" i="18" s="1"/>
  <c r="AE17" i="18" s="1"/>
  <c r="AE16" i="18" s="1"/>
  <c r="AE15" i="18" s="1"/>
  <c r="AE14" i="18" s="1"/>
  <c r="AE13" i="18" s="1"/>
  <c r="AE12" i="18" s="1"/>
  <c r="AE11" i="18" s="1"/>
  <c r="AE10" i="18" s="1"/>
  <c r="AD157" i="18"/>
  <c r="AD156" i="18" s="1"/>
  <c r="AD155" i="18" s="1"/>
  <c r="AD154" i="18" s="1"/>
  <c r="AD153" i="18" s="1"/>
  <c r="AD152" i="18" s="1"/>
  <c r="AD151" i="18" s="1"/>
  <c r="AD150" i="18" s="1"/>
  <c r="AD149" i="18" s="1"/>
  <c r="AD148" i="18" s="1"/>
  <c r="AD147" i="18" s="1"/>
  <c r="AD146" i="18" s="1"/>
  <c r="AD145" i="18" s="1"/>
  <c r="AD144" i="18" s="1"/>
  <c r="AD143" i="18" s="1"/>
  <c r="AD142" i="18" s="1"/>
  <c r="AD141" i="18" s="1"/>
  <c r="AD140" i="18" s="1"/>
  <c r="AD139" i="18" s="1"/>
  <c r="AD138" i="18" s="1"/>
  <c r="AD137" i="18" s="1"/>
  <c r="AD136" i="18" s="1"/>
  <c r="AD135" i="18" s="1"/>
  <c r="AD134" i="18" s="1"/>
  <c r="AD133" i="18" s="1"/>
  <c r="AD132" i="18" s="1"/>
  <c r="AD131" i="18" s="1"/>
  <c r="AD130" i="18" s="1"/>
  <c r="AD129" i="18" s="1"/>
  <c r="AD128" i="18" s="1"/>
  <c r="AD127" i="18" s="1"/>
  <c r="AD126" i="18" s="1"/>
  <c r="AD125" i="18" s="1"/>
  <c r="AD124" i="18" s="1"/>
  <c r="AD123" i="18" s="1"/>
  <c r="AD122" i="18" s="1"/>
  <c r="AD121" i="18" s="1"/>
  <c r="AD120" i="18" s="1"/>
  <c r="AD119" i="18" s="1"/>
  <c r="AD118" i="18" s="1"/>
  <c r="AD117" i="18" s="1"/>
  <c r="AD116" i="18" s="1"/>
  <c r="AD115" i="18" s="1"/>
  <c r="AD114" i="18" s="1"/>
  <c r="AD113" i="18" s="1"/>
  <c r="AD112" i="18" s="1"/>
  <c r="AD111" i="18" s="1"/>
  <c r="AD110" i="18" s="1"/>
  <c r="AD109" i="18" s="1"/>
  <c r="AD108" i="18" s="1"/>
  <c r="AD107" i="18" s="1"/>
  <c r="AD106" i="18" s="1"/>
  <c r="AD105" i="18" s="1"/>
  <c r="AD104" i="18" s="1"/>
  <c r="AD103" i="18" s="1"/>
  <c r="AD102" i="18" s="1"/>
  <c r="AD101" i="18" s="1"/>
  <c r="AD100" i="18" s="1"/>
  <c r="AD99" i="18" s="1"/>
  <c r="AD98" i="18" s="1"/>
  <c r="AD97" i="18" s="1"/>
  <c r="AD96" i="18" s="1"/>
  <c r="AD95" i="18" s="1"/>
  <c r="AD94" i="18" s="1"/>
  <c r="AD93" i="18" s="1"/>
  <c r="AD92" i="18" s="1"/>
  <c r="AD91" i="18" s="1"/>
  <c r="AD90" i="18" s="1"/>
  <c r="AD89" i="18" s="1"/>
  <c r="AD88" i="18" s="1"/>
  <c r="AD87" i="18" s="1"/>
  <c r="AD86" i="18" s="1"/>
  <c r="AD85" i="18" s="1"/>
  <c r="AD84" i="18" s="1"/>
  <c r="AD83" i="18" s="1"/>
  <c r="AD82" i="18" s="1"/>
  <c r="AD81" i="18" s="1"/>
  <c r="AD80" i="18" s="1"/>
  <c r="AD79" i="18" s="1"/>
  <c r="AD78" i="18" s="1"/>
  <c r="AD77" i="18" s="1"/>
  <c r="AD76" i="18" s="1"/>
  <c r="AD75" i="18" s="1"/>
  <c r="AD74" i="18" s="1"/>
  <c r="AD73" i="18" s="1"/>
  <c r="AD72" i="18" s="1"/>
  <c r="AD71" i="18" s="1"/>
  <c r="AD70" i="18" s="1"/>
  <c r="AD69" i="18" s="1"/>
  <c r="AD68" i="18" s="1"/>
  <c r="AD67" i="18" s="1"/>
  <c r="AD66" i="18" s="1"/>
  <c r="AD65" i="18" s="1"/>
  <c r="AD64" i="18" s="1"/>
  <c r="AD63" i="18" s="1"/>
  <c r="AD62" i="18" s="1"/>
  <c r="AD61" i="18" s="1"/>
  <c r="AD60" i="18" s="1"/>
  <c r="AD59" i="18" s="1"/>
  <c r="AD58" i="18" s="1"/>
  <c r="AD57" i="18" s="1"/>
  <c r="AD56" i="18" s="1"/>
  <c r="AD55" i="18" s="1"/>
  <c r="AD54" i="18" s="1"/>
  <c r="AD53" i="18" s="1"/>
  <c r="AD52" i="18" s="1"/>
  <c r="AD51" i="18" s="1"/>
  <c r="AD50" i="18" s="1"/>
  <c r="AD49" i="18" s="1"/>
  <c r="AD48" i="18" s="1"/>
  <c r="AD47" i="18" s="1"/>
  <c r="AD46" i="18" s="1"/>
  <c r="AD45" i="18" s="1"/>
  <c r="AD44" i="18" s="1"/>
  <c r="AD43" i="18" s="1"/>
  <c r="AD42" i="18" s="1"/>
  <c r="AD41" i="18" s="1"/>
  <c r="AD40" i="18" s="1"/>
  <c r="AD39" i="18" s="1"/>
  <c r="AD38" i="18" s="1"/>
  <c r="AD37" i="18" s="1"/>
  <c r="AD36" i="18" s="1"/>
  <c r="AD35" i="18" s="1"/>
  <c r="AD34" i="18" s="1"/>
  <c r="AD33" i="18" s="1"/>
  <c r="AD32" i="18" s="1"/>
  <c r="AD31" i="18" s="1"/>
  <c r="AD30" i="18" s="1"/>
  <c r="AD29" i="18" s="1"/>
  <c r="AD28" i="18" s="1"/>
  <c r="AD27" i="18" s="1"/>
  <c r="AD26" i="18" s="1"/>
  <c r="AD25" i="18" s="1"/>
  <c r="AD24" i="18" s="1"/>
  <c r="AD23" i="18" s="1"/>
  <c r="AD22" i="18" s="1"/>
  <c r="AD21" i="18" s="1"/>
  <c r="AD20" i="18" s="1"/>
  <c r="AD19" i="18" s="1"/>
  <c r="AD18" i="18" s="1"/>
  <c r="AD17" i="18" s="1"/>
  <c r="AD16" i="18" s="1"/>
  <c r="AD15" i="18" s="1"/>
  <c r="AD14" i="18" s="1"/>
  <c r="AD13" i="18" s="1"/>
  <c r="AD12" i="18" s="1"/>
  <c r="AD11" i="18" s="1"/>
  <c r="AD10" i="18" s="1"/>
  <c r="AC157" i="18"/>
  <c r="AC156" i="18" s="1"/>
  <c r="AC155" i="18" s="1"/>
  <c r="AC154" i="18" s="1"/>
  <c r="AC153" i="18" s="1"/>
  <c r="AC152" i="18" s="1"/>
  <c r="AC151" i="18" s="1"/>
  <c r="AC150" i="18" s="1"/>
  <c r="AC149" i="18" s="1"/>
  <c r="AC148" i="18" s="1"/>
  <c r="AC147" i="18" s="1"/>
  <c r="AC146" i="18" s="1"/>
  <c r="AC145" i="18" s="1"/>
  <c r="AC144" i="18" s="1"/>
  <c r="AC143" i="18" s="1"/>
  <c r="AC142" i="18" s="1"/>
  <c r="AC141" i="18" s="1"/>
  <c r="AC140" i="18" s="1"/>
  <c r="AC139" i="18" s="1"/>
  <c r="AC138" i="18" s="1"/>
  <c r="AC137" i="18" s="1"/>
  <c r="AC136" i="18" s="1"/>
  <c r="AC135" i="18" s="1"/>
  <c r="AC134" i="18" s="1"/>
  <c r="AC133" i="18" s="1"/>
  <c r="AC132" i="18" s="1"/>
  <c r="AC131" i="18" s="1"/>
  <c r="AC130" i="18" s="1"/>
  <c r="AC129" i="18" s="1"/>
  <c r="AC128" i="18" s="1"/>
  <c r="AC127" i="18" s="1"/>
  <c r="AC126" i="18" s="1"/>
  <c r="AC125" i="18" s="1"/>
  <c r="AC124" i="18" s="1"/>
  <c r="AC123" i="18" s="1"/>
  <c r="AC122" i="18" s="1"/>
  <c r="AC121" i="18" s="1"/>
  <c r="AC120" i="18" s="1"/>
  <c r="AC119" i="18" s="1"/>
  <c r="AC118" i="18" s="1"/>
  <c r="AC117" i="18" s="1"/>
  <c r="AC116" i="18" s="1"/>
  <c r="AC115" i="18" s="1"/>
  <c r="AC114" i="18" s="1"/>
  <c r="AC113" i="18" s="1"/>
  <c r="AC112" i="18" s="1"/>
  <c r="AC111" i="18" s="1"/>
  <c r="AC110" i="18" s="1"/>
  <c r="AC109" i="18" s="1"/>
  <c r="AC108" i="18" s="1"/>
  <c r="AC107" i="18" s="1"/>
  <c r="AC106" i="18" s="1"/>
  <c r="AC105" i="18" s="1"/>
  <c r="AC104" i="18" s="1"/>
  <c r="AC103" i="18" s="1"/>
  <c r="AC102" i="18" s="1"/>
  <c r="AC101" i="18" s="1"/>
  <c r="AC100" i="18" s="1"/>
  <c r="AC99" i="18" s="1"/>
  <c r="AC98" i="18" s="1"/>
  <c r="AC97" i="18" s="1"/>
  <c r="AC96" i="18" s="1"/>
  <c r="AC95" i="18" s="1"/>
  <c r="AC94" i="18" s="1"/>
  <c r="AC93" i="18" s="1"/>
  <c r="AC92" i="18" s="1"/>
  <c r="AC91" i="18" s="1"/>
  <c r="AC90" i="18" s="1"/>
  <c r="AC89" i="18" s="1"/>
  <c r="AC88" i="18" s="1"/>
  <c r="AC87" i="18" s="1"/>
  <c r="AC86" i="18" s="1"/>
  <c r="AC85" i="18" s="1"/>
  <c r="AC84" i="18" s="1"/>
  <c r="AC83" i="18" s="1"/>
  <c r="AC82" i="18" s="1"/>
  <c r="AC81" i="18" s="1"/>
  <c r="AC80" i="18" s="1"/>
  <c r="AC79" i="18" s="1"/>
  <c r="AC78" i="18" s="1"/>
  <c r="AC77" i="18" s="1"/>
  <c r="AC76" i="18" s="1"/>
  <c r="AC75" i="18" s="1"/>
  <c r="AC74" i="18" s="1"/>
  <c r="AC73" i="18" s="1"/>
  <c r="AC72" i="18" s="1"/>
  <c r="AC71" i="18" s="1"/>
  <c r="AC70" i="18" s="1"/>
  <c r="AC69" i="18" s="1"/>
  <c r="AC68" i="18" s="1"/>
  <c r="AC67" i="18" s="1"/>
  <c r="AC66" i="18" s="1"/>
  <c r="AC65" i="18" s="1"/>
  <c r="AC64" i="18" s="1"/>
  <c r="AC63" i="18" s="1"/>
  <c r="AC62" i="18" s="1"/>
  <c r="AC61" i="18" s="1"/>
  <c r="AC60" i="18" s="1"/>
  <c r="AC59" i="18" s="1"/>
  <c r="AC58" i="18" s="1"/>
  <c r="AC57" i="18" s="1"/>
  <c r="AC56" i="18" s="1"/>
  <c r="AC55" i="18" s="1"/>
  <c r="AC54" i="18" s="1"/>
  <c r="AC53" i="18" s="1"/>
  <c r="AC52" i="18" s="1"/>
  <c r="AC51" i="18" s="1"/>
  <c r="AC50" i="18" s="1"/>
  <c r="AC49" i="18" s="1"/>
  <c r="AC48" i="18" s="1"/>
  <c r="AC47" i="18" s="1"/>
  <c r="AC46" i="18" s="1"/>
  <c r="AC45" i="18" s="1"/>
  <c r="AC44" i="18" s="1"/>
  <c r="AC43" i="18" s="1"/>
  <c r="AC42" i="18" s="1"/>
  <c r="AC41" i="18" s="1"/>
  <c r="AC40" i="18" s="1"/>
  <c r="AC39" i="18" s="1"/>
  <c r="AC38" i="18" s="1"/>
  <c r="AC37" i="18" s="1"/>
  <c r="AC36" i="18" s="1"/>
  <c r="AC35" i="18" s="1"/>
  <c r="AC34" i="18" s="1"/>
  <c r="AC33" i="18" s="1"/>
  <c r="AC32" i="18" s="1"/>
  <c r="AC31" i="18" s="1"/>
  <c r="AC30" i="18" s="1"/>
  <c r="AC29" i="18" s="1"/>
  <c r="AC28" i="18" s="1"/>
  <c r="AC27" i="18" s="1"/>
  <c r="AA159" i="18"/>
  <c r="AE8" i="18"/>
  <c r="AD8" i="18"/>
  <c r="AC8" i="18"/>
  <c r="AB8" i="18"/>
  <c r="AA8" i="18"/>
  <c r="AE7" i="18"/>
  <c r="M129" i="18"/>
  <c r="L129" i="18"/>
  <c r="K129" i="18"/>
  <c r="J129" i="18"/>
  <c r="I129" i="18"/>
  <c r="M128" i="18"/>
  <c r="L128" i="18"/>
  <c r="K128" i="18"/>
  <c r="J128" i="18"/>
  <c r="I128" i="18"/>
  <c r="M127" i="18"/>
  <c r="L127" i="18"/>
  <c r="K127" i="18"/>
  <c r="J127" i="18"/>
  <c r="I127" i="18"/>
  <c r="M126" i="18"/>
  <c r="L126" i="18"/>
  <c r="K126" i="18"/>
  <c r="J126" i="18"/>
  <c r="I126" i="18"/>
  <c r="M125" i="18"/>
  <c r="L125" i="18"/>
  <c r="K125" i="18"/>
  <c r="J125" i="18"/>
  <c r="I125" i="18"/>
  <c r="M124" i="18"/>
  <c r="L124" i="18"/>
  <c r="K124" i="18"/>
  <c r="J124" i="18"/>
  <c r="I124" i="18"/>
  <c r="M123" i="18"/>
  <c r="L123" i="18"/>
  <c r="K123" i="18"/>
  <c r="J123" i="18"/>
  <c r="I123" i="18"/>
  <c r="M122" i="18"/>
  <c r="L122" i="18"/>
  <c r="K122" i="18"/>
  <c r="J122" i="18"/>
  <c r="I122" i="18"/>
  <c r="M121" i="18"/>
  <c r="L121" i="18"/>
  <c r="K121" i="18"/>
  <c r="J121" i="18"/>
  <c r="I121" i="18"/>
  <c r="M120" i="18"/>
  <c r="L120" i="18"/>
  <c r="K120" i="18"/>
  <c r="J120" i="18"/>
  <c r="I120" i="18"/>
  <c r="M119" i="18"/>
  <c r="L119" i="18"/>
  <c r="K119" i="18"/>
  <c r="J119" i="18"/>
  <c r="I119" i="18"/>
  <c r="M118" i="18"/>
  <c r="L118" i="18"/>
  <c r="K118" i="18"/>
  <c r="J118" i="18"/>
  <c r="I118" i="18"/>
  <c r="M117" i="18"/>
  <c r="L117" i="18"/>
  <c r="K117" i="18"/>
  <c r="J117" i="18"/>
  <c r="I117" i="18"/>
  <c r="M116" i="18"/>
  <c r="L116" i="18"/>
  <c r="K116" i="18"/>
  <c r="J116" i="18"/>
  <c r="I116" i="18"/>
  <c r="M115" i="18"/>
  <c r="L115" i="18"/>
  <c r="K115" i="18"/>
  <c r="J115" i="18"/>
  <c r="I115" i="18"/>
  <c r="M114" i="18"/>
  <c r="L114" i="18"/>
  <c r="K114" i="18"/>
  <c r="J114" i="18"/>
  <c r="I114" i="18"/>
  <c r="M113" i="18"/>
  <c r="L113" i="18"/>
  <c r="K113" i="18"/>
  <c r="J113" i="18"/>
  <c r="I113" i="18"/>
  <c r="M112" i="18"/>
  <c r="L112" i="18"/>
  <c r="K112" i="18"/>
  <c r="J112" i="18"/>
  <c r="I112" i="18"/>
  <c r="M111" i="18"/>
  <c r="L111" i="18"/>
  <c r="K111" i="18"/>
  <c r="J111" i="18"/>
  <c r="I111" i="18"/>
  <c r="M110" i="18"/>
  <c r="L110" i="18"/>
  <c r="K110" i="18"/>
  <c r="J110" i="18"/>
  <c r="I110" i="18"/>
  <c r="M109" i="18"/>
  <c r="L109" i="18"/>
  <c r="K109" i="18"/>
  <c r="J109" i="18"/>
  <c r="I109" i="18"/>
  <c r="M108" i="18"/>
  <c r="L108" i="18"/>
  <c r="K108" i="18"/>
  <c r="J108" i="18"/>
  <c r="I108" i="18"/>
  <c r="M107" i="18"/>
  <c r="L107" i="18"/>
  <c r="K107" i="18"/>
  <c r="J107" i="18"/>
  <c r="I107" i="18"/>
  <c r="M106" i="18"/>
  <c r="L106" i="18"/>
  <c r="K106" i="18"/>
  <c r="J106" i="18"/>
  <c r="I106" i="18"/>
  <c r="M105" i="18"/>
  <c r="L105" i="18"/>
  <c r="K105" i="18"/>
  <c r="J105" i="18"/>
  <c r="I105" i="18"/>
  <c r="M104" i="18"/>
  <c r="L104" i="18"/>
  <c r="K104" i="18"/>
  <c r="J104" i="18"/>
  <c r="I104" i="18"/>
  <c r="M103" i="18"/>
  <c r="L103" i="18"/>
  <c r="K103" i="18"/>
  <c r="J103" i="18"/>
  <c r="I103" i="18"/>
  <c r="M102" i="18"/>
  <c r="L102" i="18"/>
  <c r="K102" i="18"/>
  <c r="J102" i="18"/>
  <c r="I102" i="18"/>
  <c r="M101" i="18"/>
  <c r="L101" i="18"/>
  <c r="K101" i="18"/>
  <c r="J101" i="18"/>
  <c r="I101" i="18"/>
  <c r="M100" i="18"/>
  <c r="L100" i="18"/>
  <c r="K100" i="18"/>
  <c r="J100" i="18"/>
  <c r="I100" i="18"/>
  <c r="M99" i="18"/>
  <c r="L99" i="18"/>
  <c r="K99" i="18"/>
  <c r="J99" i="18"/>
  <c r="I99" i="18"/>
  <c r="M98" i="18"/>
  <c r="L98" i="18"/>
  <c r="K98" i="18"/>
  <c r="J98" i="18"/>
  <c r="I98" i="18"/>
  <c r="M97" i="18"/>
  <c r="L97" i="18"/>
  <c r="K97" i="18"/>
  <c r="J97" i="18"/>
  <c r="I97" i="18"/>
  <c r="M96" i="18"/>
  <c r="L96" i="18"/>
  <c r="K96" i="18"/>
  <c r="J96" i="18"/>
  <c r="I96" i="18"/>
  <c r="M95" i="18"/>
  <c r="L95" i="18"/>
  <c r="K95" i="18"/>
  <c r="J95" i="18"/>
  <c r="I95" i="18"/>
  <c r="M94" i="18"/>
  <c r="L94" i="18"/>
  <c r="K94" i="18"/>
  <c r="J94" i="18"/>
  <c r="I94" i="18"/>
  <c r="M93" i="18"/>
  <c r="L93" i="18"/>
  <c r="K93" i="18"/>
  <c r="J93" i="18"/>
  <c r="I93" i="18"/>
  <c r="M92" i="18"/>
  <c r="L92" i="18"/>
  <c r="K92" i="18"/>
  <c r="J92" i="18"/>
  <c r="I92" i="18"/>
  <c r="M91" i="18"/>
  <c r="L91" i="18"/>
  <c r="K91" i="18"/>
  <c r="J91" i="18"/>
  <c r="I91" i="18"/>
  <c r="M90" i="18"/>
  <c r="L90" i="18"/>
  <c r="K90" i="18"/>
  <c r="J90" i="18"/>
  <c r="I90" i="18"/>
  <c r="M89" i="18"/>
  <c r="L89" i="18"/>
  <c r="K89" i="18"/>
  <c r="J89" i="18"/>
  <c r="I89" i="18"/>
  <c r="M88" i="18"/>
  <c r="L88" i="18"/>
  <c r="K88" i="18"/>
  <c r="J88" i="18"/>
  <c r="I88" i="18"/>
  <c r="M87" i="18"/>
  <c r="L87" i="18"/>
  <c r="K87" i="18"/>
  <c r="J87" i="18"/>
  <c r="I87" i="18"/>
  <c r="M86" i="18"/>
  <c r="L86" i="18"/>
  <c r="K86" i="18"/>
  <c r="J86" i="18"/>
  <c r="I86" i="18"/>
  <c r="M85" i="18"/>
  <c r="L85" i="18"/>
  <c r="K85" i="18"/>
  <c r="J85" i="18"/>
  <c r="I85" i="18"/>
  <c r="M84" i="18"/>
  <c r="L84" i="18"/>
  <c r="K84" i="18"/>
  <c r="J84" i="18"/>
  <c r="I84" i="18"/>
  <c r="M83" i="18"/>
  <c r="L83" i="18"/>
  <c r="K83" i="18"/>
  <c r="J83" i="18"/>
  <c r="I83" i="18"/>
  <c r="M82" i="18"/>
  <c r="L82" i="18"/>
  <c r="K82" i="18"/>
  <c r="J82" i="18"/>
  <c r="I82" i="18"/>
  <c r="M81" i="18"/>
  <c r="L81" i="18"/>
  <c r="K81" i="18"/>
  <c r="J81" i="18"/>
  <c r="I81" i="18"/>
  <c r="M80" i="18"/>
  <c r="L80" i="18"/>
  <c r="K80" i="18"/>
  <c r="J80" i="18"/>
  <c r="I80" i="18"/>
  <c r="M79" i="18"/>
  <c r="L79" i="18"/>
  <c r="K79" i="18"/>
  <c r="J79" i="18"/>
  <c r="I79" i="18"/>
  <c r="M78" i="18"/>
  <c r="L78" i="18"/>
  <c r="K78" i="18"/>
  <c r="J78" i="18"/>
  <c r="I78" i="18"/>
  <c r="M77" i="18"/>
  <c r="L77" i="18"/>
  <c r="K77" i="18"/>
  <c r="J77" i="18"/>
  <c r="I77" i="18"/>
  <c r="M76" i="18"/>
  <c r="L76" i="18"/>
  <c r="K76" i="18"/>
  <c r="J76" i="18"/>
  <c r="I76" i="18"/>
  <c r="M75" i="18"/>
  <c r="L75" i="18"/>
  <c r="K75" i="18"/>
  <c r="J75" i="18"/>
  <c r="I75" i="18"/>
  <c r="M74" i="18"/>
  <c r="L74" i="18"/>
  <c r="K74" i="18"/>
  <c r="J74" i="18"/>
  <c r="I74" i="18"/>
  <c r="M73" i="18"/>
  <c r="L73" i="18"/>
  <c r="K73" i="18"/>
  <c r="J73" i="18"/>
  <c r="I73" i="18"/>
  <c r="M72" i="18"/>
  <c r="L72" i="18"/>
  <c r="K72" i="18"/>
  <c r="J72" i="18"/>
  <c r="I72" i="18"/>
  <c r="M71" i="18"/>
  <c r="L71" i="18"/>
  <c r="K71" i="18"/>
  <c r="J71" i="18"/>
  <c r="I71" i="18"/>
  <c r="M70" i="18"/>
  <c r="L70" i="18"/>
  <c r="K70" i="18"/>
  <c r="J70" i="18"/>
  <c r="I70" i="18"/>
  <c r="M69" i="18"/>
  <c r="L69" i="18"/>
  <c r="K69" i="18"/>
  <c r="J69" i="18"/>
  <c r="I69" i="18"/>
  <c r="M68" i="18"/>
  <c r="L68" i="18"/>
  <c r="K68" i="18"/>
  <c r="J68" i="18"/>
  <c r="I68" i="18"/>
  <c r="M67" i="18"/>
  <c r="L67" i="18"/>
  <c r="K67" i="18"/>
  <c r="J67" i="18"/>
  <c r="M66" i="18"/>
  <c r="L66" i="18"/>
  <c r="K66" i="18"/>
  <c r="J66" i="18"/>
  <c r="M65" i="18"/>
  <c r="L65" i="18"/>
  <c r="K65" i="18"/>
  <c r="J65" i="18"/>
  <c r="M64" i="18"/>
  <c r="L64" i="18"/>
  <c r="K64" i="18"/>
  <c r="J64" i="18"/>
  <c r="M63" i="18"/>
  <c r="L63" i="18"/>
  <c r="K63" i="18"/>
  <c r="J63" i="18"/>
  <c r="M62" i="18"/>
  <c r="L62" i="18"/>
  <c r="K62" i="18"/>
  <c r="J62" i="18"/>
  <c r="M61" i="18"/>
  <c r="L61" i="18"/>
  <c r="K61" i="18"/>
  <c r="J61" i="18"/>
  <c r="M60" i="18"/>
  <c r="L60" i="18"/>
  <c r="K60" i="18"/>
  <c r="J60" i="18"/>
  <c r="M59" i="18"/>
  <c r="L59" i="18"/>
  <c r="K59" i="18"/>
  <c r="J59" i="18"/>
  <c r="M58" i="18"/>
  <c r="L58" i="18"/>
  <c r="K58" i="18"/>
  <c r="J58" i="18"/>
  <c r="M57" i="18"/>
  <c r="L57" i="18"/>
  <c r="K57" i="18"/>
  <c r="J57" i="18"/>
  <c r="M56" i="18"/>
  <c r="L56" i="18"/>
  <c r="K56" i="18"/>
  <c r="J56" i="18"/>
  <c r="M55" i="18"/>
  <c r="L55" i="18"/>
  <c r="K55" i="18"/>
  <c r="J55" i="18"/>
  <c r="M54" i="18"/>
  <c r="L54" i="18"/>
  <c r="K54" i="18"/>
  <c r="J54" i="18"/>
  <c r="M53" i="18"/>
  <c r="L53" i="18"/>
  <c r="K53" i="18"/>
  <c r="J53" i="18"/>
  <c r="M52" i="18"/>
  <c r="L52" i="18"/>
  <c r="K52" i="18"/>
  <c r="J52" i="18"/>
  <c r="M51" i="18"/>
  <c r="L51" i="18"/>
  <c r="K51" i="18"/>
  <c r="J51" i="18"/>
  <c r="M50" i="18"/>
  <c r="L50" i="18"/>
  <c r="K50" i="18"/>
  <c r="J50" i="18"/>
  <c r="M49" i="18"/>
  <c r="L49" i="18"/>
  <c r="K49" i="18"/>
  <c r="J49" i="18"/>
  <c r="M48" i="18"/>
  <c r="L48" i="18"/>
  <c r="K48" i="18"/>
  <c r="J48" i="18"/>
  <c r="M47" i="18"/>
  <c r="L47" i="18"/>
  <c r="K47" i="18"/>
  <c r="M46" i="18"/>
  <c r="L46" i="18"/>
  <c r="K46" i="18"/>
  <c r="M45" i="18"/>
  <c r="L45" i="18"/>
  <c r="K45" i="18"/>
  <c r="M44" i="18"/>
  <c r="L44" i="18"/>
  <c r="K44" i="18"/>
  <c r="M43" i="18"/>
  <c r="L43" i="18"/>
  <c r="K43" i="18"/>
  <c r="M42" i="18"/>
  <c r="L42" i="18"/>
  <c r="K42" i="18"/>
  <c r="M41" i="18"/>
  <c r="L41" i="18"/>
  <c r="K41" i="18"/>
  <c r="M40" i="18"/>
  <c r="L40" i="18"/>
  <c r="K40" i="18"/>
  <c r="M39" i="18"/>
  <c r="L39" i="18"/>
  <c r="K39" i="18"/>
  <c r="M38" i="18"/>
  <c r="L38" i="18"/>
  <c r="K38" i="18"/>
  <c r="M37" i="18"/>
  <c r="L37" i="18"/>
  <c r="K37" i="18"/>
  <c r="M36" i="18"/>
  <c r="L36" i="18"/>
  <c r="K36" i="18"/>
  <c r="M35" i="18"/>
  <c r="L35" i="18"/>
  <c r="K35" i="18"/>
  <c r="M34" i="18"/>
  <c r="L34" i="18"/>
  <c r="K34" i="18"/>
  <c r="M33" i="18"/>
  <c r="L33" i="18"/>
  <c r="K33" i="18"/>
  <c r="M32" i="18"/>
  <c r="L32" i="18"/>
  <c r="K32" i="18"/>
  <c r="M31" i="18"/>
  <c r="L31" i="18"/>
  <c r="K31" i="18"/>
  <c r="M30" i="18"/>
  <c r="L30" i="18"/>
  <c r="K30" i="18"/>
  <c r="M29" i="18"/>
  <c r="L29" i="18"/>
  <c r="K29" i="18"/>
  <c r="M28" i="18"/>
  <c r="L28" i="18"/>
  <c r="K28" i="18"/>
  <c r="M27" i="18"/>
  <c r="L27" i="18"/>
  <c r="M26" i="18"/>
  <c r="L26" i="18"/>
  <c r="M25" i="18"/>
  <c r="L25" i="18"/>
  <c r="M24" i="18"/>
  <c r="L24" i="18"/>
  <c r="M23" i="18"/>
  <c r="L23" i="18"/>
  <c r="M22" i="18"/>
  <c r="L22" i="18"/>
  <c r="M21" i="18"/>
  <c r="L21" i="18"/>
  <c r="M20" i="18"/>
  <c r="L20" i="18"/>
  <c r="M19" i="18"/>
  <c r="L19" i="18"/>
  <c r="M18" i="18"/>
  <c r="L18" i="18"/>
  <c r="M17" i="18"/>
  <c r="L17" i="18"/>
  <c r="M16" i="18"/>
  <c r="L16" i="18"/>
  <c r="M15" i="18"/>
  <c r="L15" i="18"/>
  <c r="M14" i="18"/>
  <c r="L14" i="18"/>
  <c r="M13" i="18"/>
  <c r="L13" i="18"/>
  <c r="M12" i="18"/>
  <c r="L12" i="18"/>
  <c r="L11" i="18"/>
  <c r="M11" i="18"/>
  <c r="W8" i="18"/>
  <c r="U8" i="18"/>
  <c r="Y7" i="18"/>
  <c r="R8" i="18"/>
  <c r="X8" i="18" s="1"/>
  <c r="Q8" i="18"/>
  <c r="P8" i="18"/>
  <c r="V8" i="18" s="1"/>
  <c r="O8" i="18"/>
  <c r="S130" i="18"/>
  <c r="S129" i="18"/>
  <c r="R129" i="18"/>
  <c r="Q129" i="18"/>
  <c r="P129" i="18"/>
  <c r="O129" i="18"/>
  <c r="S128" i="18"/>
  <c r="R128" i="18"/>
  <c r="Q128" i="18"/>
  <c r="P128" i="18"/>
  <c r="O128" i="18"/>
  <c r="S127" i="18"/>
  <c r="R127" i="18"/>
  <c r="Q127" i="18"/>
  <c r="P127" i="18"/>
  <c r="O127" i="18"/>
  <c r="S126" i="18"/>
  <c r="R126" i="18"/>
  <c r="Q126" i="18"/>
  <c r="P126" i="18"/>
  <c r="O126" i="18"/>
  <c r="S125" i="18"/>
  <c r="R125" i="18"/>
  <c r="Q125" i="18"/>
  <c r="P125" i="18"/>
  <c r="O125" i="18"/>
  <c r="S124" i="18"/>
  <c r="R124" i="18"/>
  <c r="Q124" i="18"/>
  <c r="P124" i="18"/>
  <c r="O124" i="18"/>
  <c r="S123" i="18"/>
  <c r="R123" i="18"/>
  <c r="Q123" i="18"/>
  <c r="P123" i="18"/>
  <c r="O123" i="18"/>
  <c r="S122" i="18"/>
  <c r="R122" i="18"/>
  <c r="Q122" i="18"/>
  <c r="P122" i="18"/>
  <c r="O122" i="18"/>
  <c r="S121" i="18"/>
  <c r="R121" i="18"/>
  <c r="Q121" i="18"/>
  <c r="P121" i="18"/>
  <c r="O121" i="18"/>
  <c r="S120" i="18"/>
  <c r="R120" i="18"/>
  <c r="Q120" i="18"/>
  <c r="P120" i="18"/>
  <c r="O120" i="18"/>
  <c r="S119" i="18"/>
  <c r="R119" i="18"/>
  <c r="Q119" i="18"/>
  <c r="P119" i="18"/>
  <c r="O119" i="18"/>
  <c r="S118" i="18"/>
  <c r="R118" i="18"/>
  <c r="Q118" i="18"/>
  <c r="P118" i="18"/>
  <c r="O118" i="18"/>
  <c r="S117" i="18"/>
  <c r="R117" i="18"/>
  <c r="Q117" i="18"/>
  <c r="P117" i="18"/>
  <c r="O117" i="18"/>
  <c r="S116" i="18"/>
  <c r="R116" i="18"/>
  <c r="Q116" i="18"/>
  <c r="P116" i="18"/>
  <c r="O116" i="18"/>
  <c r="S115" i="18"/>
  <c r="R115" i="18"/>
  <c r="Q115" i="18"/>
  <c r="P115" i="18"/>
  <c r="O115" i="18"/>
  <c r="S114" i="18"/>
  <c r="R114" i="18"/>
  <c r="Q114" i="18"/>
  <c r="P114" i="18"/>
  <c r="O114" i="18"/>
  <c r="S113" i="18"/>
  <c r="R113" i="18"/>
  <c r="Q113" i="18"/>
  <c r="P113" i="18"/>
  <c r="O113" i="18"/>
  <c r="S112" i="18"/>
  <c r="R112" i="18"/>
  <c r="Q112" i="18"/>
  <c r="P112" i="18"/>
  <c r="O112" i="18"/>
  <c r="S111" i="18"/>
  <c r="R111" i="18"/>
  <c r="Q111" i="18"/>
  <c r="P111" i="18"/>
  <c r="O111" i="18"/>
  <c r="S110" i="18"/>
  <c r="R110" i="18"/>
  <c r="Q110" i="18"/>
  <c r="P110" i="18"/>
  <c r="O110" i="18"/>
  <c r="S109" i="18"/>
  <c r="R109" i="18"/>
  <c r="Q109" i="18"/>
  <c r="P109" i="18"/>
  <c r="O109" i="18"/>
  <c r="S108" i="18"/>
  <c r="R108" i="18"/>
  <c r="Q108" i="18"/>
  <c r="P108" i="18"/>
  <c r="O108" i="18"/>
  <c r="S107" i="18"/>
  <c r="R107" i="18"/>
  <c r="Q107" i="18"/>
  <c r="P107" i="18"/>
  <c r="O107" i="18"/>
  <c r="S106" i="18"/>
  <c r="R106" i="18"/>
  <c r="Q106" i="18"/>
  <c r="P106" i="18"/>
  <c r="O106" i="18"/>
  <c r="S105" i="18"/>
  <c r="R105" i="18"/>
  <c r="Q105" i="18"/>
  <c r="P105" i="18"/>
  <c r="O105" i="18"/>
  <c r="S104" i="18"/>
  <c r="R104" i="18"/>
  <c r="Q104" i="18"/>
  <c r="P104" i="18"/>
  <c r="O104" i="18"/>
  <c r="S103" i="18"/>
  <c r="R103" i="18"/>
  <c r="Q103" i="18"/>
  <c r="P103" i="18"/>
  <c r="O103" i="18"/>
  <c r="S102" i="18"/>
  <c r="R102" i="18"/>
  <c r="Q102" i="18"/>
  <c r="P102" i="18"/>
  <c r="O102" i="18"/>
  <c r="S101" i="18"/>
  <c r="R101" i="18"/>
  <c r="Q101" i="18"/>
  <c r="P101" i="18"/>
  <c r="O101" i="18"/>
  <c r="S100" i="18"/>
  <c r="R100" i="18"/>
  <c r="Q100" i="18"/>
  <c r="P100" i="18"/>
  <c r="O100" i="18"/>
  <c r="S99" i="18"/>
  <c r="R99" i="18"/>
  <c r="Q99" i="18"/>
  <c r="P99" i="18"/>
  <c r="O99" i="18"/>
  <c r="S98" i="18"/>
  <c r="R98" i="18"/>
  <c r="Q98" i="18"/>
  <c r="P98" i="18"/>
  <c r="O98" i="18"/>
  <c r="S97" i="18"/>
  <c r="R97" i="18"/>
  <c r="Q97" i="18"/>
  <c r="P97" i="18"/>
  <c r="O97" i="18"/>
  <c r="S96" i="18"/>
  <c r="R96" i="18"/>
  <c r="Q96" i="18"/>
  <c r="P96" i="18"/>
  <c r="O96" i="18"/>
  <c r="S95" i="18"/>
  <c r="R95" i="18"/>
  <c r="Q95" i="18"/>
  <c r="P95" i="18"/>
  <c r="O95" i="18"/>
  <c r="S94" i="18"/>
  <c r="R94" i="18"/>
  <c r="Q94" i="18"/>
  <c r="P94" i="18"/>
  <c r="O94" i="18"/>
  <c r="S93" i="18"/>
  <c r="R93" i="18"/>
  <c r="Q93" i="18"/>
  <c r="P93" i="18"/>
  <c r="O93" i="18"/>
  <c r="S92" i="18"/>
  <c r="R92" i="18"/>
  <c r="Q92" i="18"/>
  <c r="P92" i="18"/>
  <c r="O92" i="18"/>
  <c r="S91" i="18"/>
  <c r="R91" i="18"/>
  <c r="Q91" i="18"/>
  <c r="P91" i="18"/>
  <c r="O91" i="18"/>
  <c r="S90" i="18"/>
  <c r="R90" i="18"/>
  <c r="Q90" i="18"/>
  <c r="P90" i="18"/>
  <c r="O90" i="18"/>
  <c r="S89" i="18"/>
  <c r="R89" i="18"/>
  <c r="Q89" i="18"/>
  <c r="P89" i="18"/>
  <c r="O89" i="18"/>
  <c r="S88" i="18"/>
  <c r="R88" i="18"/>
  <c r="Q88" i="18"/>
  <c r="P88" i="18"/>
  <c r="O88" i="18"/>
  <c r="S87" i="18"/>
  <c r="R87" i="18"/>
  <c r="Q87" i="18"/>
  <c r="P87" i="18"/>
  <c r="O87" i="18"/>
  <c r="S86" i="18"/>
  <c r="R86" i="18"/>
  <c r="Q86" i="18"/>
  <c r="P86" i="18"/>
  <c r="O86" i="18"/>
  <c r="S85" i="18"/>
  <c r="R85" i="18"/>
  <c r="Q85" i="18"/>
  <c r="P85" i="18"/>
  <c r="O85" i="18"/>
  <c r="S84" i="18"/>
  <c r="R84" i="18"/>
  <c r="Q84" i="18"/>
  <c r="P84" i="18"/>
  <c r="O84" i="18"/>
  <c r="S83" i="18"/>
  <c r="R83" i="18"/>
  <c r="Q83" i="18"/>
  <c r="P83" i="18"/>
  <c r="O83" i="18"/>
  <c r="S82" i="18"/>
  <c r="R82" i="18"/>
  <c r="Q82" i="18"/>
  <c r="P82" i="18"/>
  <c r="O82" i="18"/>
  <c r="S81" i="18"/>
  <c r="R81" i="18"/>
  <c r="Q81" i="18"/>
  <c r="P81" i="18"/>
  <c r="O81" i="18"/>
  <c r="S80" i="18"/>
  <c r="R80" i="18"/>
  <c r="Q80" i="18"/>
  <c r="P80" i="18"/>
  <c r="O80" i="18"/>
  <c r="S79" i="18"/>
  <c r="R79" i="18"/>
  <c r="Q79" i="18"/>
  <c r="P79" i="18"/>
  <c r="O79" i="18"/>
  <c r="S78" i="18"/>
  <c r="R78" i="18"/>
  <c r="Q78" i="18"/>
  <c r="P78" i="18"/>
  <c r="O78" i="18"/>
  <c r="S77" i="18"/>
  <c r="R77" i="18"/>
  <c r="Q77" i="18"/>
  <c r="P77" i="18"/>
  <c r="O77" i="18"/>
  <c r="S76" i="18"/>
  <c r="R76" i="18"/>
  <c r="Q76" i="18"/>
  <c r="P76" i="18"/>
  <c r="O76" i="18"/>
  <c r="S75" i="18"/>
  <c r="R75" i="18"/>
  <c r="Q75" i="18"/>
  <c r="P75" i="18"/>
  <c r="O75" i="18"/>
  <c r="S74" i="18"/>
  <c r="R74" i="18"/>
  <c r="Q74" i="18"/>
  <c r="P74" i="18"/>
  <c r="O74" i="18"/>
  <c r="S73" i="18"/>
  <c r="R73" i="18"/>
  <c r="Q73" i="18"/>
  <c r="P73" i="18"/>
  <c r="O73" i="18"/>
  <c r="S72" i="18"/>
  <c r="R72" i="18"/>
  <c r="Q72" i="18"/>
  <c r="P72" i="18"/>
  <c r="O72" i="18"/>
  <c r="S71" i="18"/>
  <c r="R71" i="18"/>
  <c r="Q71" i="18"/>
  <c r="P71" i="18"/>
  <c r="O71" i="18"/>
  <c r="S70" i="18"/>
  <c r="R70" i="18"/>
  <c r="Q70" i="18"/>
  <c r="P70" i="18"/>
  <c r="O70" i="18"/>
  <c r="S69" i="18"/>
  <c r="R69" i="18"/>
  <c r="Q69" i="18"/>
  <c r="P69" i="18"/>
  <c r="O69" i="18"/>
  <c r="S68" i="18"/>
  <c r="R68" i="18"/>
  <c r="Q68" i="18"/>
  <c r="P68" i="18"/>
  <c r="O68" i="18"/>
  <c r="S67" i="18"/>
  <c r="R67" i="18"/>
  <c r="Q67" i="18"/>
  <c r="P67" i="18"/>
  <c r="O67" i="18"/>
  <c r="S66" i="18"/>
  <c r="R66" i="18"/>
  <c r="Q66" i="18"/>
  <c r="P66" i="18"/>
  <c r="S65" i="18"/>
  <c r="R65" i="18"/>
  <c r="Q65" i="18"/>
  <c r="P65" i="18"/>
  <c r="S64" i="18"/>
  <c r="R64" i="18"/>
  <c r="Q64" i="18"/>
  <c r="P64" i="18"/>
  <c r="S63" i="18"/>
  <c r="R63" i="18"/>
  <c r="Q63" i="18"/>
  <c r="P63" i="18"/>
  <c r="S62" i="18"/>
  <c r="R62" i="18"/>
  <c r="Q62" i="18"/>
  <c r="P62" i="18"/>
  <c r="S61" i="18"/>
  <c r="R61" i="18"/>
  <c r="Q61" i="18"/>
  <c r="P61" i="18"/>
  <c r="S60" i="18"/>
  <c r="R60" i="18"/>
  <c r="Q60" i="18"/>
  <c r="P60" i="18"/>
  <c r="S59" i="18"/>
  <c r="R59" i="18"/>
  <c r="Q59" i="18"/>
  <c r="P59" i="18"/>
  <c r="S58" i="18"/>
  <c r="R58" i="18"/>
  <c r="Q58" i="18"/>
  <c r="P58" i="18"/>
  <c r="S57" i="18"/>
  <c r="R57" i="18"/>
  <c r="Q57" i="18"/>
  <c r="P57" i="18"/>
  <c r="S56" i="18"/>
  <c r="R56" i="18"/>
  <c r="Q56" i="18"/>
  <c r="P56" i="18"/>
  <c r="S55" i="18"/>
  <c r="R55" i="18"/>
  <c r="Q55" i="18"/>
  <c r="P55" i="18"/>
  <c r="S54" i="18"/>
  <c r="R54" i="18"/>
  <c r="Q54" i="18"/>
  <c r="P54" i="18"/>
  <c r="S53" i="18"/>
  <c r="R53" i="18"/>
  <c r="Q53" i="18"/>
  <c r="P53" i="18"/>
  <c r="S52" i="18"/>
  <c r="R52" i="18"/>
  <c r="Q52" i="18"/>
  <c r="P52" i="18"/>
  <c r="S51" i="18"/>
  <c r="R51" i="18"/>
  <c r="Q51" i="18"/>
  <c r="P51" i="18"/>
  <c r="S50" i="18"/>
  <c r="R50" i="18"/>
  <c r="Q50" i="18"/>
  <c r="P50" i="18"/>
  <c r="S49" i="18"/>
  <c r="R49" i="18"/>
  <c r="Q49" i="18"/>
  <c r="P49" i="18"/>
  <c r="S48" i="18"/>
  <c r="R48" i="18"/>
  <c r="Q48" i="18"/>
  <c r="P48" i="18"/>
  <c r="S47" i="18"/>
  <c r="R47" i="18"/>
  <c r="Q47" i="18"/>
  <c r="P47" i="18"/>
  <c r="S46" i="18"/>
  <c r="R46" i="18"/>
  <c r="Q46" i="18"/>
  <c r="S45" i="18"/>
  <c r="R45" i="18"/>
  <c r="Q45" i="18"/>
  <c r="S44" i="18"/>
  <c r="R44" i="18"/>
  <c r="Q44" i="18"/>
  <c r="S43" i="18"/>
  <c r="R43" i="18"/>
  <c r="Q43" i="18"/>
  <c r="S42" i="18"/>
  <c r="R42" i="18"/>
  <c r="Q42" i="18"/>
  <c r="S41" i="18"/>
  <c r="R41" i="18"/>
  <c r="Q41" i="18"/>
  <c r="S40" i="18"/>
  <c r="R40" i="18"/>
  <c r="Q40" i="18"/>
  <c r="S39" i="18"/>
  <c r="R39" i="18"/>
  <c r="Q39" i="18"/>
  <c r="S38" i="18"/>
  <c r="R38" i="18"/>
  <c r="Q38" i="18"/>
  <c r="S37" i="18"/>
  <c r="R37" i="18"/>
  <c r="Q37" i="18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S25" i="18"/>
  <c r="R25" i="18"/>
  <c r="S24" i="18"/>
  <c r="R24" i="18"/>
  <c r="S23" i="18"/>
  <c r="R23" i="18"/>
  <c r="S22" i="18"/>
  <c r="R22" i="18"/>
  <c r="S21" i="18"/>
  <c r="R21" i="18"/>
  <c r="S20" i="18"/>
  <c r="R20" i="18"/>
  <c r="S19" i="18"/>
  <c r="R19" i="18"/>
  <c r="S18" i="18"/>
  <c r="R18" i="18"/>
  <c r="S17" i="18"/>
  <c r="R17" i="18"/>
  <c r="S16" i="18"/>
  <c r="R16" i="18"/>
  <c r="S15" i="18"/>
  <c r="R15" i="18"/>
  <c r="S14" i="18"/>
  <c r="R14" i="18"/>
  <c r="S13" i="18"/>
  <c r="R13" i="18"/>
  <c r="S12" i="18"/>
  <c r="R12" i="18"/>
  <c r="S11" i="18"/>
  <c r="R11" i="18"/>
  <c r="S10" i="18"/>
  <c r="R10" i="18"/>
  <c r="S8" i="18"/>
  <c r="Y8" i="18" s="1"/>
  <c r="S7" i="18"/>
  <c r="G137" i="18"/>
  <c r="F137" i="18"/>
  <c r="E137" i="18"/>
  <c r="D137" i="18"/>
  <c r="C137" i="18"/>
  <c r="G136" i="18"/>
  <c r="F136" i="18"/>
  <c r="E136" i="18"/>
  <c r="E140" i="18" s="1"/>
  <c r="D136" i="18"/>
  <c r="D140" i="18" s="1"/>
  <c r="C136" i="18"/>
  <c r="G135" i="18"/>
  <c r="G139" i="18" s="1"/>
  <c r="F135" i="18"/>
  <c r="E135" i="18"/>
  <c r="D135" i="18"/>
  <c r="C135" i="18"/>
  <c r="A12" i="18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1" i="18"/>
  <c r="L25" i="20" a="1"/>
  <c r="L30" i="20" a="1"/>
  <c r="E29" i="20" a="1"/>
  <c r="L22" i="20" a="1"/>
  <c r="E26" i="20" a="1"/>
  <c r="L28" i="20" a="1"/>
  <c r="F31" i="20" a="1"/>
  <c r="M25" i="20" a="1"/>
  <c r="L21" i="20" a="1"/>
  <c r="F25" i="20" a="1"/>
  <c r="F21" i="20" a="1"/>
  <c r="K30" i="20" a="1"/>
  <c r="I31" i="20" a="1"/>
  <c r="I28" i="20" a="1"/>
  <c r="M30" i="20" a="1"/>
  <c r="F28" i="20" a="1"/>
  <c r="E31" i="20" a="1"/>
  <c r="J26" i="20" a="1"/>
  <c r="M21" i="20" a="1"/>
  <c r="F22" i="20" a="1"/>
  <c r="J28" i="20" a="1"/>
  <c r="C29" i="20" a="1"/>
  <c r="G31" i="20" a="1"/>
  <c r="K25" i="20" a="1"/>
  <c r="D29" i="20" a="1"/>
  <c r="G22" i="20" a="1"/>
  <c r="D26" i="20" a="1"/>
  <c r="G30" i="20" a="1"/>
  <c r="K28" i="20" a="1"/>
  <c r="G23" i="20" a="1"/>
  <c r="E25" i="20" a="1"/>
  <c r="G21" i="20" a="1"/>
  <c r="S11" i="20" l="1" a="1"/>
  <c r="S11" i="20" s="1"/>
  <c r="R12" i="20" a="1"/>
  <c r="R12" i="20" s="1"/>
  <c r="G10" i="20" a="1"/>
  <c r="G10" i="20" s="1"/>
  <c r="F12" i="20" a="1"/>
  <c r="F12" i="20" s="1"/>
  <c r="F15" i="20" a="1"/>
  <c r="F15" i="20" s="1"/>
  <c r="M8" i="20" a="1"/>
  <c r="M8" i="20" s="1"/>
  <c r="K12" i="20" a="1"/>
  <c r="K12" i="20" s="1"/>
  <c r="M14" i="20" a="1"/>
  <c r="M14" i="20" s="1"/>
  <c r="J17" i="20" a="1"/>
  <c r="J17" i="20" s="1"/>
  <c r="S12" i="20" a="1"/>
  <c r="S12" i="20" s="1"/>
  <c r="R13" i="20" a="1"/>
  <c r="R13" i="20" s="1"/>
  <c r="Q15" i="20" a="1"/>
  <c r="Q15" i="20" s="1"/>
  <c r="O17" i="20" a="1"/>
  <c r="O17" i="20" s="1"/>
  <c r="C13" i="20" a="1"/>
  <c r="C13" i="20" s="1"/>
  <c r="C16" i="20" a="1"/>
  <c r="C16" i="20" s="1"/>
  <c r="K9" i="20" a="1"/>
  <c r="K9" i="20" s="1"/>
  <c r="L12" i="20" a="1"/>
  <c r="L12" i="20" s="1"/>
  <c r="I15" i="20" a="1"/>
  <c r="I15" i="20" s="1"/>
  <c r="K17" i="20" a="1"/>
  <c r="K17" i="20" s="1"/>
  <c r="S13" i="20" a="1"/>
  <c r="S13" i="20" s="1"/>
  <c r="R14" i="20" a="1"/>
  <c r="R14" i="20" s="1"/>
  <c r="Q16" i="20" a="1"/>
  <c r="Q16" i="20" s="1"/>
  <c r="P11" i="20" a="1"/>
  <c r="P11" i="20" s="1"/>
  <c r="G11" i="20" a="1"/>
  <c r="G11" i="20" s="1"/>
  <c r="D13" i="20" a="1"/>
  <c r="D13" i="20" s="1"/>
  <c r="D16" i="20" a="1"/>
  <c r="D16" i="20" s="1"/>
  <c r="L9" i="20" a="1"/>
  <c r="L9" i="20" s="1"/>
  <c r="M12" i="20" a="1"/>
  <c r="M12" i="20" s="1"/>
  <c r="J15" i="20" a="1"/>
  <c r="J15" i="20" s="1"/>
  <c r="L17" i="20" a="1"/>
  <c r="L17" i="20" s="1"/>
  <c r="S14" i="20" a="1"/>
  <c r="S14" i="20" s="1"/>
  <c r="R15" i="20" a="1"/>
  <c r="R15" i="20" s="1"/>
  <c r="Q17" i="20" a="1"/>
  <c r="Q17" i="20" s="1"/>
  <c r="E9" i="20" a="1"/>
  <c r="E9" i="20" s="1"/>
  <c r="E13" i="20" a="1"/>
  <c r="E13" i="20" s="1"/>
  <c r="E16" i="20" a="1"/>
  <c r="E16" i="20" s="1"/>
  <c r="M9" i="20" a="1"/>
  <c r="M9" i="20" s="1"/>
  <c r="I13" i="20" a="1"/>
  <c r="I13" i="20" s="1"/>
  <c r="K15" i="20" a="1"/>
  <c r="K15" i="20" s="1"/>
  <c r="M17" i="20" a="1"/>
  <c r="M17" i="20" s="1"/>
  <c r="S15" i="20" a="1"/>
  <c r="S15" i="20" s="1"/>
  <c r="R16" i="20" a="1"/>
  <c r="R16" i="20" s="1"/>
  <c r="G12" i="20" a="1"/>
  <c r="G12" i="20" s="1"/>
  <c r="F9" i="20" a="1"/>
  <c r="F9" i="20" s="1"/>
  <c r="F13" i="20" a="1"/>
  <c r="F13" i="20" s="1"/>
  <c r="F16" i="20" a="1"/>
  <c r="F16" i="20" s="1"/>
  <c r="K10" i="20" a="1"/>
  <c r="K10" i="20" s="1"/>
  <c r="J13" i="20" a="1"/>
  <c r="J13" i="20" s="1"/>
  <c r="L15" i="20" a="1"/>
  <c r="L15" i="20" s="1"/>
  <c r="S16" i="20" a="1"/>
  <c r="S16" i="20" s="1"/>
  <c r="R17" i="20" a="1"/>
  <c r="R17" i="20" s="1"/>
  <c r="P13" i="20" a="1"/>
  <c r="P13" i="20" s="1"/>
  <c r="O13" i="20" a="1"/>
  <c r="O13" i="20" s="1"/>
  <c r="G13" i="20" a="1"/>
  <c r="G13" i="20" s="1"/>
  <c r="E10" i="20" a="1"/>
  <c r="E10" i="20" s="1"/>
  <c r="C14" i="20" a="1"/>
  <c r="C14" i="20" s="1"/>
  <c r="C17" i="20" a="1"/>
  <c r="C17" i="20" s="1"/>
  <c r="L10" i="20" a="1"/>
  <c r="L10" i="20" s="1"/>
  <c r="K13" i="20" a="1"/>
  <c r="K13" i="20" s="1"/>
  <c r="M15" i="20" a="1"/>
  <c r="M15" i="20" s="1"/>
  <c r="S17" i="20" a="1"/>
  <c r="S17" i="20" s="1"/>
  <c r="Q9" i="20" a="1"/>
  <c r="Q9" i="20" s="1"/>
  <c r="P14" i="20" a="1"/>
  <c r="P14" i="20" s="1"/>
  <c r="O14" i="20" a="1"/>
  <c r="O14" i="20" s="1"/>
  <c r="G14" i="20" a="1"/>
  <c r="G14" i="20" s="1"/>
  <c r="F10" i="20" a="1"/>
  <c r="F10" i="20" s="1"/>
  <c r="D14" i="20" a="1"/>
  <c r="D14" i="20" s="1"/>
  <c r="D17" i="20" a="1"/>
  <c r="D17" i="20" s="1"/>
  <c r="M10" i="20" a="1"/>
  <c r="M10" i="20" s="1"/>
  <c r="L13" i="20" a="1"/>
  <c r="L13" i="20" s="1"/>
  <c r="I16" i="20" a="1"/>
  <c r="I16" i="20" s="1"/>
  <c r="Q10" i="20" a="1"/>
  <c r="Q10" i="20" s="1"/>
  <c r="P15" i="20" a="1"/>
  <c r="P15" i="20" s="1"/>
  <c r="G15" i="20" a="1"/>
  <c r="G15" i="20" s="1"/>
  <c r="D11" i="20" a="1"/>
  <c r="D11" i="20" s="1"/>
  <c r="E14" i="20" a="1"/>
  <c r="E14" i="20" s="1"/>
  <c r="J11" i="20" a="1"/>
  <c r="J11" i="20" s="1"/>
  <c r="M13" i="20" a="1"/>
  <c r="M13" i="20" s="1"/>
  <c r="J16" i="20" a="1"/>
  <c r="J16" i="20" s="1"/>
  <c r="I28" i="20"/>
  <c r="I31" i="20"/>
  <c r="J28" i="20"/>
  <c r="J26" i="20"/>
  <c r="K28" i="20"/>
  <c r="K30" i="20"/>
  <c r="K25" i="20"/>
  <c r="L21" i="20"/>
  <c r="L28" i="20"/>
  <c r="L22" i="20"/>
  <c r="L30" i="20"/>
  <c r="L25" i="20"/>
  <c r="M30" i="20"/>
  <c r="M25" i="20"/>
  <c r="M21" i="20"/>
  <c r="C29" i="20"/>
  <c r="D26" i="20"/>
  <c r="D29" i="20"/>
  <c r="E26" i="20"/>
  <c r="E29" i="20"/>
  <c r="E25" i="20"/>
  <c r="E31" i="20"/>
  <c r="F22" i="20"/>
  <c r="F28" i="20"/>
  <c r="F21" i="20"/>
  <c r="F25" i="20"/>
  <c r="F31" i="20"/>
  <c r="G23" i="20"/>
  <c r="G30" i="20"/>
  <c r="G22" i="20"/>
  <c r="G31" i="20"/>
  <c r="G21" i="20"/>
  <c r="C140" i="18"/>
  <c r="C139" i="18"/>
  <c r="C145" i="18" s="1"/>
  <c r="C150" i="18" s="1"/>
  <c r="D139" i="18"/>
  <c r="E139" i="18"/>
  <c r="E142" i="18" s="1"/>
  <c r="F139" i="18"/>
  <c r="C142" i="18"/>
  <c r="C143" i="18" s="1"/>
  <c r="F140" i="18"/>
  <c r="G140" i="18"/>
  <c r="D142" i="18"/>
  <c r="D143" i="18" s="1"/>
  <c r="I27" i="20" a="1"/>
  <c r="F26" i="20" a="1"/>
  <c r="J29" i="20" a="1"/>
  <c r="G26" i="20" a="1"/>
  <c r="J31" i="20" a="1"/>
  <c r="K42" i="20" a="1"/>
  <c r="E40" i="20" a="1"/>
  <c r="G29" i="20" a="1"/>
  <c r="K23" i="20" a="1"/>
  <c r="G28" i="20" a="1"/>
  <c r="E24" i="20" a="1"/>
  <c r="G35" i="20" a="1"/>
  <c r="E39" i="20" a="1"/>
  <c r="I45" i="20" a="1"/>
  <c r="D28" i="20" a="1"/>
  <c r="K24" i="20" a="1"/>
  <c r="E28" i="20" a="1"/>
  <c r="F27" i="20" a="1"/>
  <c r="M22" i="20" a="1"/>
  <c r="M23" i="20" a="1"/>
  <c r="G24" i="20" a="1"/>
  <c r="J42" i="20" a="1"/>
  <c r="L31" i="20" a="1"/>
  <c r="C43" i="20" a="1"/>
  <c r="E43" i="20" a="1"/>
  <c r="F45" i="20" a="1"/>
  <c r="K39" i="20" a="1"/>
  <c r="L29" i="20" a="1"/>
  <c r="C30" i="20" a="1"/>
  <c r="K44" i="20" a="1"/>
  <c r="G27" i="20" a="1"/>
  <c r="M28" i="20" a="1"/>
  <c r="E23" i="20" a="1"/>
  <c r="I30" i="20" a="1"/>
  <c r="M31" i="20" a="1"/>
  <c r="J30" i="20" a="1"/>
  <c r="K27" i="20" a="1"/>
  <c r="F36" i="20" a="1"/>
  <c r="L35" i="20" a="1"/>
  <c r="M44" i="20" a="1"/>
  <c r="L23" i="20" a="1"/>
  <c r="L39" i="20" a="1"/>
  <c r="F24" i="20" a="1"/>
  <c r="F23" i="20" a="1"/>
  <c r="F30" i="20" a="1"/>
  <c r="G25" i="20" a="1"/>
  <c r="G37" i="20" a="1"/>
  <c r="D31" i="20" a="1"/>
  <c r="I42" i="20" a="1"/>
  <c r="C27" i="20" a="1"/>
  <c r="L44" i="20" a="1"/>
  <c r="K26" i="20" a="1"/>
  <c r="J40" i="20" a="1"/>
  <c r="D40" i="20" a="1"/>
  <c r="G45" i="20" a="1"/>
  <c r="E30" i="20" a="1"/>
  <c r="E27" i="20" a="1"/>
  <c r="M39" i="20" a="1"/>
  <c r="F35" i="20" a="1"/>
  <c r="L42" i="20" a="1"/>
  <c r="D43" i="20" a="1"/>
  <c r="K29" i="20" a="1"/>
  <c r="M35" i="20" a="1"/>
  <c r="M27" i="20" a="1"/>
  <c r="C28" i="20" a="1"/>
  <c r="L24" i="20" a="1"/>
  <c r="J27" i="20" a="1"/>
  <c r="D25" i="20" a="1"/>
  <c r="G44" i="20" a="1"/>
  <c r="L27" i="20" a="1"/>
  <c r="F29" i="20" a="1"/>
  <c r="F42" i="20" a="1"/>
  <c r="K31" i="20" a="1"/>
  <c r="L36" i="20" a="1"/>
  <c r="M26" i="20" a="1"/>
  <c r="J25" i="20" a="1"/>
  <c r="C31" i="20" a="1"/>
  <c r="M24" i="20" a="1"/>
  <c r="D27" i="20" a="1"/>
  <c r="I29" i="20" a="1"/>
  <c r="M29" i="20" a="1"/>
  <c r="E45" i="20" a="1"/>
  <c r="D30" i="20" a="1"/>
  <c r="L26" i="20" a="1"/>
  <c r="G36" i="20" a="1"/>
  <c r="F39" i="20" a="1"/>
  <c r="K39" i="20" l="1"/>
  <c r="K53" i="20" s="1"/>
  <c r="M29" i="20"/>
  <c r="K27" i="20"/>
  <c r="K24" i="20"/>
  <c r="E39" i="20"/>
  <c r="E53" i="20" s="1"/>
  <c r="E40" i="20"/>
  <c r="E54" i="20" s="1"/>
  <c r="E30" i="20"/>
  <c r="G45" i="20"/>
  <c r="G59" i="20" s="1"/>
  <c r="I42" i="20"/>
  <c r="I56" i="20" s="1"/>
  <c r="J27" i="20"/>
  <c r="G25" i="20"/>
  <c r="I30" i="20"/>
  <c r="F45" i="20"/>
  <c r="F59" i="20" s="1"/>
  <c r="F39" i="20"/>
  <c r="F53" i="20" s="1"/>
  <c r="F35" i="20"/>
  <c r="F49" i="20" s="1"/>
  <c r="E27" i="20"/>
  <c r="G35" i="20"/>
  <c r="G49" i="20" s="1"/>
  <c r="K42" i="20"/>
  <c r="K56" i="20" s="1"/>
  <c r="L36" i="20"/>
  <c r="L50" i="20" s="1"/>
  <c r="D40" i="20"/>
  <c r="D54" i="20" s="1"/>
  <c r="L27" i="20"/>
  <c r="L24" i="20"/>
  <c r="F30" i="20"/>
  <c r="E23" i="20"/>
  <c r="E43" i="20"/>
  <c r="E57" i="20" s="1"/>
  <c r="L42" i="20"/>
  <c r="L56" i="20" s="1"/>
  <c r="M24" i="20"/>
  <c r="C31" i="20"/>
  <c r="F27" i="20"/>
  <c r="J31" i="20"/>
  <c r="G36" i="20"/>
  <c r="G50" i="20" s="1"/>
  <c r="J40" i="20"/>
  <c r="J54" i="20" s="1"/>
  <c r="D31" i="20"/>
  <c r="C28" i="20"/>
  <c r="F23" i="20"/>
  <c r="M28" i="20"/>
  <c r="C43" i="20"/>
  <c r="C57" i="20" s="1"/>
  <c r="L35" i="20"/>
  <c r="L49" i="20" s="1"/>
  <c r="J30" i="20"/>
  <c r="D28" i="20"/>
  <c r="E24" i="20"/>
  <c r="G26" i="20"/>
  <c r="K31" i="20"/>
  <c r="K26" i="20"/>
  <c r="G44" i="20"/>
  <c r="G58" i="20" s="1"/>
  <c r="M27" i="20"/>
  <c r="F24" i="20"/>
  <c r="G27" i="20"/>
  <c r="L31" i="20"/>
  <c r="I29" i="20"/>
  <c r="M22" i="20"/>
  <c r="J25" i="20"/>
  <c r="G28" i="20"/>
  <c r="J29" i="20"/>
  <c r="L26" i="20"/>
  <c r="F29" i="20"/>
  <c r="G37" i="20"/>
  <c r="G51" i="20" s="1"/>
  <c r="M35" i="20"/>
  <c r="M49" i="20" s="1"/>
  <c r="L39" i="20"/>
  <c r="L53" i="20" s="1"/>
  <c r="K44" i="20"/>
  <c r="K58" i="20" s="1"/>
  <c r="J42" i="20"/>
  <c r="J56" i="20" s="1"/>
  <c r="E28" i="20"/>
  <c r="M31" i="20"/>
  <c r="M26" i="20"/>
  <c r="K23" i="20"/>
  <c r="F26" i="20"/>
  <c r="F42" i="20"/>
  <c r="F56" i="20" s="1"/>
  <c r="L44" i="20"/>
  <c r="L58" i="20" s="1"/>
  <c r="D25" i="20"/>
  <c r="K29" i="20"/>
  <c r="L23" i="20"/>
  <c r="C30" i="20"/>
  <c r="G24" i="20"/>
  <c r="F36" i="20"/>
  <c r="F50" i="20" s="1"/>
  <c r="M39" i="20"/>
  <c r="M53" i="20" s="1"/>
  <c r="I45" i="20"/>
  <c r="I59" i="20" s="1"/>
  <c r="G29" i="20"/>
  <c r="I27" i="20"/>
  <c r="D30" i="20"/>
  <c r="C27" i="20"/>
  <c r="E45" i="20"/>
  <c r="E59" i="20" s="1"/>
  <c r="D43" i="20"/>
  <c r="D57" i="20" s="1"/>
  <c r="M44" i="20"/>
  <c r="M58" i="20" s="1"/>
  <c r="L29" i="20"/>
  <c r="M23" i="20"/>
  <c r="D27" i="20"/>
  <c r="E143" i="18"/>
  <c r="E145" i="18"/>
  <c r="D145" i="18"/>
  <c r="E150" i="18"/>
  <c r="E148" i="18"/>
  <c r="D150" i="18"/>
  <c r="D148" i="18"/>
  <c r="D149" i="18"/>
  <c r="C148" i="18"/>
  <c r="C149" i="18"/>
  <c r="G142" i="18"/>
  <c r="F142" i="18"/>
  <c r="C146" i="18"/>
  <c r="E149" i="18"/>
  <c r="E146" i="18"/>
  <c r="D146" i="18"/>
  <c r="D41" i="20" a="1"/>
  <c r="F41" i="20" a="1"/>
  <c r="L40" i="20" a="1"/>
  <c r="K43" i="20" a="1"/>
  <c r="L45" i="20" a="1"/>
  <c r="K37" i="20" a="1"/>
  <c r="C41" i="20" a="1"/>
  <c r="M45" i="20" a="1"/>
  <c r="L37" i="20" a="1"/>
  <c r="K38" i="20" a="1"/>
  <c r="I44" i="20" a="1"/>
  <c r="E41" i="20" a="1"/>
  <c r="E37" i="20" a="1"/>
  <c r="J41" i="20" a="1"/>
  <c r="M43" i="20" a="1"/>
  <c r="L38" i="20" a="1"/>
  <c r="C42" i="20" a="1"/>
  <c r="K45" i="20" a="1"/>
  <c r="K41" i="20" a="1"/>
  <c r="E38" i="20" a="1"/>
  <c r="D44" i="20" a="1"/>
  <c r="G39" i="20" a="1"/>
  <c r="G38" i="20" a="1"/>
  <c r="F37" i="20" a="1"/>
  <c r="G43" i="20" a="1"/>
  <c r="L41" i="20" a="1"/>
  <c r="G40" i="20" a="1"/>
  <c r="J43" i="20" a="1"/>
  <c r="F40" i="20" a="1"/>
  <c r="D42" i="20" a="1"/>
  <c r="G41" i="20" a="1"/>
  <c r="J39" i="20" a="1"/>
  <c r="E42" i="20" a="1"/>
  <c r="L43" i="20" a="1"/>
  <c r="M38" i="20" a="1"/>
  <c r="G42" i="20" a="1"/>
  <c r="K40" i="20" a="1"/>
  <c r="F44" i="20" a="1"/>
  <c r="M37" i="20" a="1"/>
  <c r="J44" i="20" a="1"/>
  <c r="F43" i="20" a="1"/>
  <c r="M36" i="20" a="1"/>
  <c r="F38" i="20" a="1"/>
  <c r="J45" i="20" a="1"/>
  <c r="D45" i="20" a="1"/>
  <c r="D39" i="20" a="1"/>
  <c r="C45" i="20" a="1"/>
  <c r="M42" i="20" a="1"/>
  <c r="I41" i="20" a="1"/>
  <c r="I43" i="20" a="1"/>
  <c r="E44" i="20" a="1"/>
  <c r="C44" i="20" a="1"/>
  <c r="M40" i="20" a="1"/>
  <c r="M41" i="20" a="1"/>
  <c r="M37" i="20" l="1"/>
  <c r="M51" i="20" s="1"/>
  <c r="G38" i="20"/>
  <c r="G52" i="20" s="1"/>
  <c r="L45" i="20"/>
  <c r="L59" i="20" s="1"/>
  <c r="L43" i="20"/>
  <c r="L57" i="20" s="1"/>
  <c r="C44" i="20"/>
  <c r="C58" i="20" s="1"/>
  <c r="G41" i="20"/>
  <c r="G55" i="20" s="1"/>
  <c r="M42" i="20"/>
  <c r="M56" i="20" s="1"/>
  <c r="E37" i="20"/>
  <c r="E51" i="20" s="1"/>
  <c r="I44" i="20"/>
  <c r="I58" i="20" s="1"/>
  <c r="L37" i="20"/>
  <c r="L51" i="20" s="1"/>
  <c r="F38" i="20"/>
  <c r="F52" i="20" s="1"/>
  <c r="F37" i="20"/>
  <c r="F51" i="20" s="1"/>
  <c r="F44" i="20"/>
  <c r="F58" i="20" s="1"/>
  <c r="G39" i="20"/>
  <c r="G53" i="20" s="1"/>
  <c r="K43" i="20"/>
  <c r="K57" i="20" s="1"/>
  <c r="M41" i="20"/>
  <c r="M55" i="20" s="1"/>
  <c r="C42" i="20"/>
  <c r="C56" i="20" s="1"/>
  <c r="L38" i="20"/>
  <c r="L52" i="20" s="1"/>
  <c r="J41" i="20"/>
  <c r="J55" i="20" s="1"/>
  <c r="D39" i="20"/>
  <c r="D53" i="20" s="1"/>
  <c r="D45" i="20"/>
  <c r="D59" i="20" s="1"/>
  <c r="L41" i="20"/>
  <c r="L55" i="20" s="1"/>
  <c r="C41" i="20"/>
  <c r="C55" i="20" s="1"/>
  <c r="F43" i="20"/>
  <c r="F57" i="20" s="1"/>
  <c r="K40" i="20"/>
  <c r="K54" i="20" s="1"/>
  <c r="D44" i="20"/>
  <c r="D58" i="20" s="1"/>
  <c r="L40" i="20"/>
  <c r="L54" i="20" s="1"/>
  <c r="K45" i="20"/>
  <c r="K59" i="20" s="1"/>
  <c r="E44" i="20"/>
  <c r="E58" i="20" s="1"/>
  <c r="I41" i="20"/>
  <c r="I55" i="20" s="1"/>
  <c r="F40" i="20"/>
  <c r="F54" i="20" s="1"/>
  <c r="J43" i="20"/>
  <c r="J57" i="20" s="1"/>
  <c r="G40" i="20"/>
  <c r="G54" i="20" s="1"/>
  <c r="J45" i="20"/>
  <c r="J59" i="20" s="1"/>
  <c r="G43" i="20"/>
  <c r="G57" i="20" s="1"/>
  <c r="K37" i="20"/>
  <c r="K51" i="20" s="1"/>
  <c r="G42" i="20"/>
  <c r="G56" i="20" s="1"/>
  <c r="E38" i="20"/>
  <c r="E52" i="20" s="1"/>
  <c r="F41" i="20"/>
  <c r="F55" i="20" s="1"/>
  <c r="M40" i="20"/>
  <c r="M54" i="20" s="1"/>
  <c r="J39" i="20"/>
  <c r="J53" i="20" s="1"/>
  <c r="D42" i="20"/>
  <c r="D56" i="20" s="1"/>
  <c r="C45" i="20"/>
  <c r="C59" i="20" s="1"/>
  <c r="E41" i="20"/>
  <c r="E55" i="20" s="1"/>
  <c r="K38" i="20"/>
  <c r="K52" i="20" s="1"/>
  <c r="M45" i="20"/>
  <c r="M59" i="20" s="1"/>
  <c r="M36" i="20"/>
  <c r="M50" i="20" s="1"/>
  <c r="J44" i="20"/>
  <c r="J58" i="20" s="1"/>
  <c r="M38" i="20"/>
  <c r="M52" i="20" s="1"/>
  <c r="K41" i="20"/>
  <c r="K55" i="20" s="1"/>
  <c r="D41" i="20"/>
  <c r="D55" i="20" s="1"/>
  <c r="E42" i="20"/>
  <c r="E56" i="20" s="1"/>
  <c r="I43" i="20"/>
  <c r="I57" i="20" s="1"/>
  <c r="M43" i="20"/>
  <c r="M57" i="20" s="1"/>
  <c r="Q149" i="18"/>
  <c r="Q137" i="18"/>
  <c r="Q142" i="18"/>
  <c r="Q156" i="18"/>
  <c r="Q144" i="18"/>
  <c r="Q132" i="18"/>
  <c r="Q151" i="18"/>
  <c r="Q139" i="18"/>
  <c r="Q154" i="18"/>
  <c r="Q158" i="18"/>
  <c r="Q146" i="18"/>
  <c r="Q134" i="18"/>
  <c r="Q150" i="18"/>
  <c r="Q138" i="18"/>
  <c r="Q135" i="18"/>
  <c r="Q130" i="18"/>
  <c r="Q153" i="18"/>
  <c r="Q141" i="18"/>
  <c r="Q160" i="18"/>
  <c r="Q148" i="18"/>
  <c r="Q136" i="18"/>
  <c r="Q155" i="18"/>
  <c r="Q143" i="18"/>
  <c r="Q131" i="18"/>
  <c r="Q157" i="18"/>
  <c r="Q145" i="18"/>
  <c r="Q133" i="18"/>
  <c r="Q152" i="18"/>
  <c r="Q140" i="18"/>
  <c r="Q159" i="18"/>
  <c r="W159" i="18" s="1"/>
  <c r="Q147" i="18"/>
  <c r="P154" i="18"/>
  <c r="P142" i="18"/>
  <c r="P130" i="18"/>
  <c r="P152" i="18"/>
  <c r="P140" i="18"/>
  <c r="P149" i="18"/>
  <c r="P137" i="18"/>
  <c r="P156" i="18"/>
  <c r="P144" i="18"/>
  <c r="P132" i="18"/>
  <c r="P151" i="18"/>
  <c r="P139" i="18"/>
  <c r="P143" i="18"/>
  <c r="P131" i="18"/>
  <c r="P159" i="18"/>
  <c r="P158" i="18"/>
  <c r="P146" i="18"/>
  <c r="P134" i="18"/>
  <c r="P153" i="18"/>
  <c r="P141" i="18"/>
  <c r="P160" i="18"/>
  <c r="P148" i="18"/>
  <c r="P136" i="18"/>
  <c r="P155" i="18"/>
  <c r="P135" i="18"/>
  <c r="P150" i="18"/>
  <c r="P138" i="18"/>
  <c r="P157" i="18"/>
  <c r="P145" i="18"/>
  <c r="P133" i="18"/>
  <c r="P147" i="18"/>
  <c r="O159" i="18"/>
  <c r="O147" i="18"/>
  <c r="O135" i="18"/>
  <c r="O145" i="18"/>
  <c r="O154" i="18"/>
  <c r="O142" i="18"/>
  <c r="O130" i="18"/>
  <c r="O140" i="18"/>
  <c r="O149" i="18"/>
  <c r="O137" i="18"/>
  <c r="O156" i="18"/>
  <c r="O144" i="18"/>
  <c r="O132" i="18"/>
  <c r="O148" i="18"/>
  <c r="O136" i="18"/>
  <c r="O157" i="18"/>
  <c r="O151" i="18"/>
  <c r="O139" i="18"/>
  <c r="O158" i="18"/>
  <c r="O146" i="18"/>
  <c r="O134" i="18"/>
  <c r="O153" i="18"/>
  <c r="O141" i="18"/>
  <c r="O160" i="18"/>
  <c r="O152" i="18"/>
  <c r="O155" i="18"/>
  <c r="O143" i="18"/>
  <c r="O131" i="18"/>
  <c r="O150" i="18"/>
  <c r="O138" i="18"/>
  <c r="O133" i="18"/>
  <c r="F143" i="18"/>
  <c r="F145" i="18"/>
  <c r="F146" i="18"/>
  <c r="G143" i="18"/>
  <c r="G145" i="18"/>
  <c r="G146" i="18"/>
  <c r="V159" i="18" l="1"/>
  <c r="V158" i="18" s="1"/>
  <c r="V157" i="18" s="1"/>
  <c r="V156" i="18" s="1"/>
  <c r="V155" i="18" s="1"/>
  <c r="V154" i="18" s="1"/>
  <c r="V153" i="18" s="1"/>
  <c r="V152" i="18" s="1"/>
  <c r="V151" i="18" s="1"/>
  <c r="V150" i="18" s="1"/>
  <c r="V149" i="18" s="1"/>
  <c r="V148" i="18" s="1"/>
  <c r="V147" i="18" s="1"/>
  <c r="V146" i="18" s="1"/>
  <c r="V145" i="18" s="1"/>
  <c r="V144" i="18" s="1"/>
  <c r="V143" i="18" s="1"/>
  <c r="V142" i="18" s="1"/>
  <c r="V141" i="18" s="1"/>
  <c r="V140" i="18" s="1"/>
  <c r="V139" i="18" s="1"/>
  <c r="V138" i="18" s="1"/>
  <c r="V137" i="18" s="1"/>
  <c r="V136" i="18" s="1"/>
  <c r="V135" i="18" s="1"/>
  <c r="V134" i="18" s="1"/>
  <c r="V133" i="18" s="1"/>
  <c r="V132" i="18" s="1"/>
  <c r="V131" i="18" s="1"/>
  <c r="V130" i="18" s="1"/>
  <c r="V129" i="18" s="1"/>
  <c r="V128" i="18" s="1"/>
  <c r="V127" i="18" s="1"/>
  <c r="V126" i="18" s="1"/>
  <c r="V125" i="18" s="1"/>
  <c r="V124" i="18" s="1"/>
  <c r="V123" i="18" s="1"/>
  <c r="V122" i="18" s="1"/>
  <c r="V121" i="18" s="1"/>
  <c r="V120" i="18" s="1"/>
  <c r="V119" i="18" s="1"/>
  <c r="V118" i="18" s="1"/>
  <c r="V117" i="18" s="1"/>
  <c r="V116" i="18" s="1"/>
  <c r="V115" i="18" s="1"/>
  <c r="V114" i="18" s="1"/>
  <c r="V113" i="18" s="1"/>
  <c r="V112" i="18" s="1"/>
  <c r="V111" i="18" s="1"/>
  <c r="V110" i="18" s="1"/>
  <c r="V109" i="18" s="1"/>
  <c r="V108" i="18" s="1"/>
  <c r="V107" i="18" s="1"/>
  <c r="V106" i="18" s="1"/>
  <c r="V105" i="18" s="1"/>
  <c r="V104" i="18" s="1"/>
  <c r="V103" i="18" s="1"/>
  <c r="V102" i="18" s="1"/>
  <c r="V101" i="18" s="1"/>
  <c r="V100" i="18" s="1"/>
  <c r="V99" i="18" s="1"/>
  <c r="V98" i="18" s="1"/>
  <c r="V97" i="18" s="1"/>
  <c r="V96" i="18" s="1"/>
  <c r="V95" i="18" s="1"/>
  <c r="V94" i="18" s="1"/>
  <c r="V93" i="18" s="1"/>
  <c r="V92" i="18" s="1"/>
  <c r="V91" i="18" s="1"/>
  <c r="V90" i="18" s="1"/>
  <c r="V89" i="18" s="1"/>
  <c r="V88" i="18" s="1"/>
  <c r="V87" i="18" s="1"/>
  <c r="V86" i="18" s="1"/>
  <c r="V85" i="18" s="1"/>
  <c r="V84" i="18" s="1"/>
  <c r="V83" i="18" s="1"/>
  <c r="V82" i="18" s="1"/>
  <c r="V81" i="18" s="1"/>
  <c r="V80" i="18" s="1"/>
  <c r="V79" i="18" s="1"/>
  <c r="V78" i="18" s="1"/>
  <c r="V77" i="18" s="1"/>
  <c r="V76" i="18" s="1"/>
  <c r="V75" i="18" s="1"/>
  <c r="V74" i="18" s="1"/>
  <c r="V73" i="18" s="1"/>
  <c r="V72" i="18" s="1"/>
  <c r="V71" i="18" s="1"/>
  <c r="V70" i="18" s="1"/>
  <c r="V69" i="18" s="1"/>
  <c r="V68" i="18" s="1"/>
  <c r="V67" i="18" s="1"/>
  <c r="V66" i="18" s="1"/>
  <c r="V65" i="18" s="1"/>
  <c r="V64" i="18" s="1"/>
  <c r="V63" i="18" s="1"/>
  <c r="V62" i="18" s="1"/>
  <c r="V61" i="18" s="1"/>
  <c r="V60" i="18" s="1"/>
  <c r="V59" i="18" s="1"/>
  <c r="V58" i="18" s="1"/>
  <c r="V57" i="18" s="1"/>
  <c r="V56" i="18" s="1"/>
  <c r="V55" i="18" s="1"/>
  <c r="V54" i="18" s="1"/>
  <c r="V53" i="18" s="1"/>
  <c r="V52" i="18" s="1"/>
  <c r="V51" i="18" s="1"/>
  <c r="V50" i="18" s="1"/>
  <c r="V49" i="18" s="1"/>
  <c r="V48" i="18" s="1"/>
  <c r="W158" i="18"/>
  <c r="W157" i="18" s="1"/>
  <c r="W156" i="18" s="1"/>
  <c r="W155" i="18" s="1"/>
  <c r="W154" i="18" s="1"/>
  <c r="W153" i="18" s="1"/>
  <c r="W152" i="18" s="1"/>
  <c r="W151" i="18" s="1"/>
  <c r="W150" i="18" s="1"/>
  <c r="W149" i="18" s="1"/>
  <c r="W148" i="18" s="1"/>
  <c r="W147" i="18" s="1"/>
  <c r="W146" i="18" s="1"/>
  <c r="W145" i="18" s="1"/>
  <c r="W144" i="18" s="1"/>
  <c r="W143" i="18" s="1"/>
  <c r="W142" i="18" s="1"/>
  <c r="W141" i="18" s="1"/>
  <c r="W140" i="18" s="1"/>
  <c r="W139" i="18" s="1"/>
  <c r="W138" i="18" s="1"/>
  <c r="W137" i="18" s="1"/>
  <c r="W136" i="18" s="1"/>
  <c r="W135" i="18" s="1"/>
  <c r="W134" i="18" s="1"/>
  <c r="W133" i="18" s="1"/>
  <c r="W132" i="18" s="1"/>
  <c r="W131" i="18" s="1"/>
  <c r="W130" i="18" s="1"/>
  <c r="W129" i="18" s="1"/>
  <c r="W128" i="18" s="1"/>
  <c r="W127" i="18" s="1"/>
  <c r="W126" i="18" s="1"/>
  <c r="W125" i="18" s="1"/>
  <c r="W124" i="18" s="1"/>
  <c r="W123" i="18" s="1"/>
  <c r="W122" i="18" s="1"/>
  <c r="W121" i="18" s="1"/>
  <c r="W120" i="18" s="1"/>
  <c r="W119" i="18" s="1"/>
  <c r="W118" i="18" s="1"/>
  <c r="W117" i="18" s="1"/>
  <c r="W116" i="18" s="1"/>
  <c r="W115" i="18" s="1"/>
  <c r="W114" i="18" s="1"/>
  <c r="W113" i="18" s="1"/>
  <c r="W112" i="18" s="1"/>
  <c r="W111" i="18" s="1"/>
  <c r="W110" i="18" s="1"/>
  <c r="W109" i="18" s="1"/>
  <c r="W108" i="18" s="1"/>
  <c r="W107" i="18" s="1"/>
  <c r="W106" i="18" s="1"/>
  <c r="W105" i="18" s="1"/>
  <c r="W104" i="18" s="1"/>
  <c r="W103" i="18" s="1"/>
  <c r="W102" i="18" s="1"/>
  <c r="W101" i="18" s="1"/>
  <c r="W100" i="18" s="1"/>
  <c r="W99" i="18" s="1"/>
  <c r="W98" i="18" s="1"/>
  <c r="W97" i="18" s="1"/>
  <c r="W96" i="18" s="1"/>
  <c r="W95" i="18" s="1"/>
  <c r="W94" i="18" s="1"/>
  <c r="W93" i="18" s="1"/>
  <c r="W92" i="18" s="1"/>
  <c r="W91" i="18" s="1"/>
  <c r="W90" i="18" s="1"/>
  <c r="W89" i="18" s="1"/>
  <c r="W88" i="18" s="1"/>
  <c r="W87" i="18" s="1"/>
  <c r="W86" i="18" s="1"/>
  <c r="W85" i="18" s="1"/>
  <c r="W84" i="18" s="1"/>
  <c r="W83" i="18" s="1"/>
  <c r="W82" i="18" s="1"/>
  <c r="W81" i="18" s="1"/>
  <c r="W80" i="18" s="1"/>
  <c r="W79" i="18" s="1"/>
  <c r="W78" i="18" s="1"/>
  <c r="W77" i="18" s="1"/>
  <c r="W76" i="18" s="1"/>
  <c r="W75" i="18" s="1"/>
  <c r="W74" i="18" s="1"/>
  <c r="W73" i="18" s="1"/>
  <c r="W72" i="18" s="1"/>
  <c r="W71" i="18" s="1"/>
  <c r="W70" i="18" s="1"/>
  <c r="W69" i="18" s="1"/>
  <c r="W68" i="18" s="1"/>
  <c r="W67" i="18" s="1"/>
  <c r="W66" i="18" s="1"/>
  <c r="W65" i="18" s="1"/>
  <c r="W64" i="18" s="1"/>
  <c r="W63" i="18" s="1"/>
  <c r="W62" i="18" s="1"/>
  <c r="W61" i="18" s="1"/>
  <c r="W60" i="18" s="1"/>
  <c r="W59" i="18" s="1"/>
  <c r="W58" i="18" s="1"/>
  <c r="W57" i="18" s="1"/>
  <c r="W56" i="18" s="1"/>
  <c r="W55" i="18" s="1"/>
  <c r="W54" i="18" s="1"/>
  <c r="W53" i="18" s="1"/>
  <c r="W52" i="18" s="1"/>
  <c r="W51" i="18" s="1"/>
  <c r="W50" i="18" s="1"/>
  <c r="W49" i="18" s="1"/>
  <c r="W48" i="18" s="1"/>
  <c r="W47" i="18" s="1"/>
  <c r="W46" i="18" s="1"/>
  <c r="W45" i="18" s="1"/>
  <c r="W44" i="18" s="1"/>
  <c r="W43" i="18" s="1"/>
  <c r="W42" i="18" s="1"/>
  <c r="W41" i="18" s="1"/>
  <c r="W40" i="18" s="1"/>
  <c r="W39" i="18" s="1"/>
  <c r="W38" i="18" s="1"/>
  <c r="W37" i="18" s="1"/>
  <c r="W36" i="18" s="1"/>
  <c r="W35" i="18" s="1"/>
  <c r="W34" i="18" s="1"/>
  <c r="W33" i="18" s="1"/>
  <c r="W32" i="18" s="1"/>
  <c r="W31" i="18" s="1"/>
  <c r="W30" i="18" s="1"/>
  <c r="W29" i="18" s="1"/>
  <c r="W28" i="18" s="1"/>
  <c r="W27" i="18" s="1"/>
  <c r="U159" i="18"/>
  <c r="U158" i="18" s="1"/>
  <c r="U157" i="18" s="1"/>
  <c r="U156" i="18" s="1"/>
  <c r="U155" i="18" s="1"/>
  <c r="U154" i="18" s="1"/>
  <c r="U153" i="18" s="1"/>
  <c r="U152" i="18" s="1"/>
  <c r="U151" i="18" s="1"/>
  <c r="U150" i="18" s="1"/>
  <c r="U149" i="18" s="1"/>
  <c r="U148" i="18" s="1"/>
  <c r="U147" i="18" s="1"/>
  <c r="U146" i="18" s="1"/>
  <c r="U145" i="18" s="1"/>
  <c r="U144" i="18" s="1"/>
  <c r="U143" i="18" s="1"/>
  <c r="U142" i="18" s="1"/>
  <c r="U141" i="18" s="1"/>
  <c r="U140" i="18" s="1"/>
  <c r="U139" i="18" s="1"/>
  <c r="U138" i="18" s="1"/>
  <c r="U137" i="18" s="1"/>
  <c r="U136" i="18" s="1"/>
  <c r="U135" i="18" s="1"/>
  <c r="U134" i="18" s="1"/>
  <c r="U133" i="18" s="1"/>
  <c r="U132" i="18" s="1"/>
  <c r="U131" i="18" s="1"/>
  <c r="U130" i="18" s="1"/>
  <c r="U129" i="18" s="1"/>
  <c r="U128" i="18" s="1"/>
  <c r="U127" i="18" s="1"/>
  <c r="U126" i="18" s="1"/>
  <c r="U125" i="18" s="1"/>
  <c r="U124" i="18" s="1"/>
  <c r="U123" i="18" s="1"/>
  <c r="U122" i="18" s="1"/>
  <c r="U121" i="18" s="1"/>
  <c r="U120" i="18" s="1"/>
  <c r="U119" i="18" s="1"/>
  <c r="U118" i="18" s="1"/>
  <c r="U117" i="18" s="1"/>
  <c r="U116" i="18" s="1"/>
  <c r="U115" i="18" s="1"/>
  <c r="U114" i="18" s="1"/>
  <c r="U113" i="18" s="1"/>
  <c r="U112" i="18" s="1"/>
  <c r="U111" i="18" s="1"/>
  <c r="U110" i="18" s="1"/>
  <c r="U109" i="18" s="1"/>
  <c r="U108" i="18" s="1"/>
  <c r="U107" i="18" s="1"/>
  <c r="U106" i="18" s="1"/>
  <c r="U105" i="18" s="1"/>
  <c r="U104" i="18" s="1"/>
  <c r="U103" i="18" s="1"/>
  <c r="U102" i="18" s="1"/>
  <c r="U101" i="18" s="1"/>
  <c r="U100" i="18" s="1"/>
  <c r="U99" i="18" s="1"/>
  <c r="U98" i="18" s="1"/>
  <c r="U97" i="18" s="1"/>
  <c r="U96" i="18" s="1"/>
  <c r="U95" i="18" s="1"/>
  <c r="U94" i="18" s="1"/>
  <c r="U93" i="18" s="1"/>
  <c r="U92" i="18" s="1"/>
  <c r="U91" i="18" s="1"/>
  <c r="U90" i="18" s="1"/>
  <c r="U89" i="18" s="1"/>
  <c r="U88" i="18" s="1"/>
  <c r="U87" i="18" s="1"/>
  <c r="U86" i="18" s="1"/>
  <c r="U85" i="18" s="1"/>
  <c r="U84" i="18" s="1"/>
  <c r="U83" i="18" s="1"/>
  <c r="U82" i="18" s="1"/>
  <c r="U81" i="18" s="1"/>
  <c r="U80" i="18" s="1"/>
  <c r="U79" i="18" s="1"/>
  <c r="U78" i="18" s="1"/>
  <c r="U77" i="18" s="1"/>
  <c r="U76" i="18" s="1"/>
  <c r="U75" i="18" s="1"/>
  <c r="U74" i="18" s="1"/>
  <c r="U73" i="18" s="1"/>
  <c r="U72" i="18" s="1"/>
  <c r="U71" i="18" s="1"/>
  <c r="U70" i="18" s="1"/>
  <c r="U69" i="18" s="1"/>
  <c r="U68" i="18" s="1"/>
  <c r="U67" i="18" s="1"/>
  <c r="F148" i="18"/>
  <c r="F150" i="18"/>
  <c r="F149" i="18"/>
  <c r="G148" i="18"/>
  <c r="G150" i="18"/>
  <c r="G149" i="18"/>
  <c r="S151" i="18" l="1"/>
  <c r="S139" i="18"/>
  <c r="S156" i="18"/>
  <c r="S158" i="18"/>
  <c r="S146" i="18"/>
  <c r="S134" i="18"/>
  <c r="S153" i="18"/>
  <c r="S141" i="18"/>
  <c r="S160" i="18"/>
  <c r="S148" i="18"/>
  <c r="S136" i="18"/>
  <c r="S140" i="18"/>
  <c r="S144" i="18"/>
  <c r="S155" i="18"/>
  <c r="S143" i="18"/>
  <c r="S131" i="18"/>
  <c r="S150" i="18"/>
  <c r="S138" i="18"/>
  <c r="S157" i="18"/>
  <c r="S145" i="18"/>
  <c r="S133" i="18"/>
  <c r="S152" i="18"/>
  <c r="S159" i="18"/>
  <c r="Y159" i="18" s="1"/>
  <c r="Y158" i="18" s="1"/>
  <c r="Y157" i="18" s="1"/>
  <c r="Y156" i="18" s="1"/>
  <c r="Y155" i="18" s="1"/>
  <c r="Y154" i="18" s="1"/>
  <c r="Y153" i="18" s="1"/>
  <c r="Y152" i="18" s="1"/>
  <c r="Y151" i="18" s="1"/>
  <c r="Y150" i="18" s="1"/>
  <c r="Y149" i="18" s="1"/>
  <c r="Y148" i="18" s="1"/>
  <c r="Y147" i="18" s="1"/>
  <c r="Y146" i="18" s="1"/>
  <c r="Y145" i="18" s="1"/>
  <c r="Y144" i="18" s="1"/>
  <c r="Y143" i="18" s="1"/>
  <c r="Y142" i="18" s="1"/>
  <c r="Y141" i="18" s="1"/>
  <c r="Y140" i="18" s="1"/>
  <c r="Y139" i="18" s="1"/>
  <c r="Y138" i="18" s="1"/>
  <c r="Y137" i="18" s="1"/>
  <c r="Y136" i="18" s="1"/>
  <c r="Y135" i="18" s="1"/>
  <c r="Y134" i="18" s="1"/>
  <c r="Y133" i="18" s="1"/>
  <c r="Y132" i="18" s="1"/>
  <c r="Y131" i="18" s="1"/>
  <c r="Y130" i="18" s="1"/>
  <c r="Y129" i="18" s="1"/>
  <c r="Y128" i="18" s="1"/>
  <c r="Y127" i="18" s="1"/>
  <c r="Y126" i="18" s="1"/>
  <c r="Y125" i="18" s="1"/>
  <c r="Y124" i="18" s="1"/>
  <c r="Y123" i="18" s="1"/>
  <c r="Y122" i="18" s="1"/>
  <c r="Y121" i="18" s="1"/>
  <c r="Y120" i="18" s="1"/>
  <c r="Y119" i="18" s="1"/>
  <c r="Y118" i="18" s="1"/>
  <c r="Y117" i="18" s="1"/>
  <c r="Y116" i="18" s="1"/>
  <c r="Y115" i="18" s="1"/>
  <c r="Y114" i="18" s="1"/>
  <c r="Y113" i="18" s="1"/>
  <c r="Y112" i="18" s="1"/>
  <c r="Y111" i="18" s="1"/>
  <c r="Y110" i="18" s="1"/>
  <c r="Y109" i="18" s="1"/>
  <c r="Y108" i="18" s="1"/>
  <c r="Y107" i="18" s="1"/>
  <c r="Y106" i="18" s="1"/>
  <c r="Y105" i="18" s="1"/>
  <c r="Y104" i="18" s="1"/>
  <c r="Y103" i="18" s="1"/>
  <c r="Y102" i="18" s="1"/>
  <c r="Y101" i="18" s="1"/>
  <c r="Y100" i="18" s="1"/>
  <c r="Y99" i="18" s="1"/>
  <c r="Y98" i="18" s="1"/>
  <c r="Y97" i="18" s="1"/>
  <c r="Y96" i="18" s="1"/>
  <c r="Y95" i="18" s="1"/>
  <c r="Y94" i="18" s="1"/>
  <c r="Y93" i="18" s="1"/>
  <c r="Y92" i="18" s="1"/>
  <c r="Y91" i="18" s="1"/>
  <c r="Y90" i="18" s="1"/>
  <c r="Y89" i="18" s="1"/>
  <c r="Y88" i="18" s="1"/>
  <c r="Y87" i="18" s="1"/>
  <c r="Y86" i="18" s="1"/>
  <c r="Y85" i="18" s="1"/>
  <c r="Y84" i="18" s="1"/>
  <c r="Y83" i="18" s="1"/>
  <c r="Y82" i="18" s="1"/>
  <c r="Y81" i="18" s="1"/>
  <c r="Y80" i="18" s="1"/>
  <c r="Y79" i="18" s="1"/>
  <c r="Y78" i="18" s="1"/>
  <c r="Y77" i="18" s="1"/>
  <c r="Y76" i="18" s="1"/>
  <c r="Y75" i="18" s="1"/>
  <c r="Y74" i="18" s="1"/>
  <c r="Y73" i="18" s="1"/>
  <c r="Y72" i="18" s="1"/>
  <c r="Y71" i="18" s="1"/>
  <c r="Y70" i="18" s="1"/>
  <c r="Y69" i="18" s="1"/>
  <c r="Y68" i="18" s="1"/>
  <c r="Y67" i="18" s="1"/>
  <c r="Y66" i="18" s="1"/>
  <c r="Y65" i="18" s="1"/>
  <c r="Y64" i="18" s="1"/>
  <c r="Y63" i="18" s="1"/>
  <c r="Y62" i="18" s="1"/>
  <c r="Y61" i="18" s="1"/>
  <c r="Y60" i="18" s="1"/>
  <c r="Y59" i="18" s="1"/>
  <c r="Y58" i="18" s="1"/>
  <c r="Y57" i="18" s="1"/>
  <c r="Y56" i="18" s="1"/>
  <c r="Y55" i="18" s="1"/>
  <c r="Y54" i="18" s="1"/>
  <c r="Y53" i="18" s="1"/>
  <c r="Y52" i="18" s="1"/>
  <c r="Y51" i="18" s="1"/>
  <c r="Y50" i="18" s="1"/>
  <c r="Y49" i="18" s="1"/>
  <c r="Y48" i="18" s="1"/>
  <c r="Y47" i="18" s="1"/>
  <c r="Y46" i="18" s="1"/>
  <c r="Y45" i="18" s="1"/>
  <c r="Y44" i="18" s="1"/>
  <c r="Y43" i="18" s="1"/>
  <c r="Y42" i="18" s="1"/>
  <c r="Y41" i="18" s="1"/>
  <c r="Y40" i="18" s="1"/>
  <c r="Y39" i="18" s="1"/>
  <c r="Y38" i="18" s="1"/>
  <c r="Y37" i="18" s="1"/>
  <c r="Y36" i="18" s="1"/>
  <c r="Y35" i="18" s="1"/>
  <c r="Y34" i="18" s="1"/>
  <c r="Y33" i="18" s="1"/>
  <c r="Y32" i="18" s="1"/>
  <c r="Y31" i="18" s="1"/>
  <c r="Y30" i="18" s="1"/>
  <c r="Y29" i="18" s="1"/>
  <c r="Y28" i="18" s="1"/>
  <c r="Y27" i="18" s="1"/>
  <c r="Y26" i="18" s="1"/>
  <c r="Y25" i="18" s="1"/>
  <c r="Y24" i="18" s="1"/>
  <c r="Y23" i="18" s="1"/>
  <c r="Y22" i="18" s="1"/>
  <c r="Y21" i="18" s="1"/>
  <c r="Y20" i="18" s="1"/>
  <c r="Y19" i="18" s="1"/>
  <c r="Y18" i="18" s="1"/>
  <c r="Y17" i="18" s="1"/>
  <c r="Y16" i="18" s="1"/>
  <c r="Y15" i="18" s="1"/>
  <c r="Y14" i="18" s="1"/>
  <c r="Y13" i="18" s="1"/>
  <c r="Y12" i="18" s="1"/>
  <c r="Y11" i="18" s="1"/>
  <c r="Y10" i="18" s="1"/>
  <c r="S147" i="18"/>
  <c r="S135" i="18"/>
  <c r="S154" i="18"/>
  <c r="S142" i="18"/>
  <c r="S149" i="18"/>
  <c r="S137" i="18"/>
  <c r="S132" i="18"/>
  <c r="R156" i="18"/>
  <c r="R144" i="18"/>
  <c r="R132" i="18"/>
  <c r="R130" i="18"/>
  <c r="R151" i="18"/>
  <c r="R139" i="18"/>
  <c r="R149" i="18"/>
  <c r="R158" i="18"/>
  <c r="R146" i="18"/>
  <c r="R134" i="18"/>
  <c r="R137" i="18"/>
  <c r="R153" i="18"/>
  <c r="R141" i="18"/>
  <c r="R145" i="18"/>
  <c r="R133" i="18"/>
  <c r="R160" i="18"/>
  <c r="R148" i="18"/>
  <c r="R136" i="18"/>
  <c r="R155" i="18"/>
  <c r="R143" i="18"/>
  <c r="R131" i="18"/>
  <c r="R150" i="18"/>
  <c r="R138" i="18"/>
  <c r="R157" i="18"/>
  <c r="R152" i="18"/>
  <c r="R140" i="18"/>
  <c r="R159" i="18"/>
  <c r="R147" i="18"/>
  <c r="R135" i="18"/>
  <c r="R154" i="18"/>
  <c r="R142" i="18"/>
  <c r="X159" i="18" l="1"/>
  <c r="X158" i="18" s="1"/>
  <c r="X157" i="18" s="1"/>
  <c r="X156" i="18" s="1"/>
  <c r="X155" i="18" s="1"/>
  <c r="X154" i="18" s="1"/>
  <c r="X153" i="18" s="1"/>
  <c r="X152" i="18" s="1"/>
  <c r="X151" i="18" s="1"/>
  <c r="X150" i="18" s="1"/>
  <c r="X149" i="18" s="1"/>
  <c r="X148" i="18" s="1"/>
  <c r="X147" i="18" s="1"/>
  <c r="X146" i="18" s="1"/>
  <c r="X145" i="18" s="1"/>
  <c r="X144" i="18" s="1"/>
  <c r="X143" i="18" s="1"/>
  <c r="X142" i="18" s="1"/>
  <c r="X141" i="18" s="1"/>
  <c r="X140" i="18" s="1"/>
  <c r="X139" i="18" s="1"/>
  <c r="X138" i="18" s="1"/>
  <c r="X137" i="18" s="1"/>
  <c r="X136" i="18" s="1"/>
  <c r="X135" i="18" s="1"/>
  <c r="X134" i="18" s="1"/>
  <c r="X133" i="18" s="1"/>
  <c r="X132" i="18" s="1"/>
  <c r="X131" i="18" s="1"/>
  <c r="X130" i="18" s="1"/>
  <c r="X129" i="18" s="1"/>
  <c r="X128" i="18" s="1"/>
  <c r="X127" i="18" s="1"/>
  <c r="X126" i="18" s="1"/>
  <c r="X125" i="18" s="1"/>
  <c r="X124" i="18" s="1"/>
  <c r="X123" i="18" s="1"/>
  <c r="X122" i="18" s="1"/>
  <c r="X121" i="18" s="1"/>
  <c r="X120" i="18" s="1"/>
  <c r="X119" i="18" s="1"/>
  <c r="X118" i="18" s="1"/>
  <c r="X117" i="18" s="1"/>
  <c r="X116" i="18" s="1"/>
  <c r="X115" i="18" s="1"/>
  <c r="X114" i="18" s="1"/>
  <c r="X113" i="18" s="1"/>
  <c r="X112" i="18" s="1"/>
  <c r="X111" i="18" s="1"/>
  <c r="X110" i="18" s="1"/>
  <c r="X109" i="18" s="1"/>
  <c r="X108" i="18" s="1"/>
  <c r="X107" i="18" s="1"/>
  <c r="X106" i="18" s="1"/>
  <c r="X105" i="18" s="1"/>
  <c r="X104" i="18" s="1"/>
  <c r="X103" i="18" s="1"/>
  <c r="X102" i="18" s="1"/>
  <c r="X101" i="18" s="1"/>
  <c r="X100" i="18" s="1"/>
  <c r="X99" i="18" s="1"/>
  <c r="X98" i="18" s="1"/>
  <c r="X97" i="18" s="1"/>
  <c r="X96" i="18" s="1"/>
  <c r="X95" i="18" s="1"/>
  <c r="X94" i="18" s="1"/>
  <c r="X93" i="18" s="1"/>
  <c r="X92" i="18" s="1"/>
  <c r="X91" i="18" s="1"/>
  <c r="X90" i="18" s="1"/>
  <c r="X89" i="18" s="1"/>
  <c r="X88" i="18" s="1"/>
  <c r="X87" i="18" s="1"/>
  <c r="X86" i="18" s="1"/>
  <c r="X85" i="18" s="1"/>
  <c r="X84" i="18" s="1"/>
  <c r="X83" i="18" s="1"/>
  <c r="X82" i="18" s="1"/>
  <c r="X81" i="18" s="1"/>
  <c r="X80" i="18" s="1"/>
  <c r="X79" i="18" s="1"/>
  <c r="X78" i="18" s="1"/>
  <c r="X77" i="18" s="1"/>
  <c r="X76" i="18" s="1"/>
  <c r="X75" i="18" s="1"/>
  <c r="X74" i="18" s="1"/>
  <c r="X73" i="18" s="1"/>
  <c r="X72" i="18" s="1"/>
  <c r="X71" i="18" s="1"/>
  <c r="X70" i="18" s="1"/>
  <c r="X69" i="18" s="1"/>
  <c r="X68" i="18" s="1"/>
  <c r="X67" i="18" s="1"/>
  <c r="X66" i="18" s="1"/>
  <c r="X65" i="18" s="1"/>
  <c r="X64" i="18" s="1"/>
  <c r="X63" i="18" s="1"/>
  <c r="X62" i="18" s="1"/>
  <c r="X61" i="18" s="1"/>
  <c r="X60" i="18" s="1"/>
  <c r="X59" i="18" s="1"/>
  <c r="X58" i="18" s="1"/>
  <c r="X57" i="18" s="1"/>
  <c r="X56" i="18" s="1"/>
  <c r="X55" i="18" s="1"/>
  <c r="X54" i="18" s="1"/>
  <c r="X53" i="18" s="1"/>
  <c r="X52" i="18" s="1"/>
  <c r="X51" i="18" s="1"/>
  <c r="X50" i="18" s="1"/>
  <c r="X49" i="18" s="1"/>
  <c r="X48" i="18" s="1"/>
  <c r="X47" i="18" s="1"/>
  <c r="X46" i="18" s="1"/>
  <c r="X45" i="18" s="1"/>
  <c r="X44" i="18" s="1"/>
  <c r="X43" i="18" s="1"/>
  <c r="X42" i="18" s="1"/>
  <c r="X41" i="18" s="1"/>
  <c r="X40" i="18" s="1"/>
  <c r="X39" i="18" s="1"/>
  <c r="X38" i="18" s="1"/>
  <c r="X37" i="18" s="1"/>
  <c r="X36" i="18" s="1"/>
  <c r="X35" i="18" s="1"/>
  <c r="X34" i="18" s="1"/>
  <c r="X33" i="18" s="1"/>
  <c r="X32" i="18" s="1"/>
  <c r="X31" i="18" s="1"/>
  <c r="X30" i="18" s="1"/>
  <c r="X29" i="18" s="1"/>
  <c r="X28" i="18" s="1"/>
  <c r="X27" i="18" s="1"/>
  <c r="X26" i="18" s="1"/>
  <c r="X25" i="18" s="1"/>
  <c r="X24" i="18" s="1"/>
  <c r="X23" i="18" s="1"/>
  <c r="X22" i="18" s="1"/>
  <c r="X21" i="18" s="1"/>
  <c r="X20" i="18" s="1"/>
  <c r="X19" i="18" s="1"/>
  <c r="X18" i="18" s="1"/>
  <c r="X17" i="18" s="1"/>
  <c r="X16" i="18" s="1"/>
  <c r="X15" i="18" s="1"/>
  <c r="X14" i="18" s="1"/>
  <c r="X13" i="18" s="1"/>
  <c r="X12" i="18" s="1"/>
  <c r="X11" i="18" s="1"/>
  <c r="X10" i="18" s="1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E20" i="9" a="1"/>
  <c r="AE13" i="9" a="1"/>
  <c r="AE17" i="9" a="1"/>
  <c r="AE21" i="9" a="1"/>
  <c r="AE25" i="9" a="1"/>
  <c r="AE29" i="9" a="1"/>
  <c r="AE33" i="9" a="1"/>
  <c r="AE37" i="9" a="1"/>
  <c r="AE14" i="9" a="1"/>
  <c r="AE18" i="9" a="1"/>
  <c r="AE22" i="9" a="1"/>
  <c r="AE26" i="9" a="1"/>
  <c r="AE30" i="9" a="1"/>
  <c r="AE34" i="9" a="1"/>
  <c r="AE10" i="9" a="1"/>
  <c r="AE11" i="9" a="1"/>
  <c r="AE15" i="9" a="1"/>
  <c r="AE19" i="9" a="1"/>
  <c r="AE23" i="9" a="1"/>
  <c r="AE27" i="9" a="1"/>
  <c r="AE31" i="9" a="1"/>
  <c r="AE35" i="9" a="1"/>
  <c r="AE12" i="9" a="1"/>
  <c r="AE16" i="9" a="1"/>
  <c r="AE24" i="9" a="1"/>
  <c r="AE28" i="9" a="1"/>
  <c r="AE32" i="9" a="1"/>
  <c r="AE36" i="9" a="1"/>
  <c r="AE36" i="9" l="1"/>
  <c r="AE32" i="9"/>
  <c r="AE28" i="9"/>
  <c r="AE24" i="9"/>
  <c r="AE16" i="9"/>
  <c r="AE12" i="9"/>
  <c r="AE35" i="9"/>
  <c r="AE31" i="9"/>
  <c r="AE27" i="9"/>
  <c r="AE23" i="9"/>
  <c r="AE19" i="9"/>
  <c r="AE15" i="9"/>
  <c r="AE11" i="9"/>
  <c r="AE10" i="9"/>
  <c r="AE34" i="9"/>
  <c r="AE30" i="9"/>
  <c r="AE26" i="9"/>
  <c r="AE22" i="9"/>
  <c r="AE18" i="9"/>
  <c r="AE14" i="9"/>
  <c r="AJ19" i="9" s="1"/>
  <c r="AE37" i="9"/>
  <c r="AE33" i="9"/>
  <c r="AE29" i="9"/>
  <c r="AE25" i="9"/>
  <c r="AE21" i="9"/>
  <c r="AE17" i="9"/>
  <c r="AE13" i="9"/>
  <c r="AE20" i="9"/>
  <c r="AM19" i="9" a="1"/>
  <c r="AN19" i="9" a="1"/>
  <c r="AJ22" i="9" l="1"/>
  <c r="AJ13" i="9"/>
  <c r="AJ34" i="9"/>
  <c r="AJ31" i="9"/>
  <c r="AJ12" i="9"/>
  <c r="AN19" i="9"/>
  <c r="AL19" i="9" a="1"/>
  <c r="AL19" i="9" s="1"/>
  <c r="AK19" i="9" a="1"/>
  <c r="AK19" i="9" s="1"/>
  <c r="AL13" i="9" a="1"/>
  <c r="AL13" i="9" s="1"/>
  <c r="AK13" i="9" a="1"/>
  <c r="AK13" i="9" s="1"/>
  <c r="AL22" i="9" a="1"/>
  <c r="AL22" i="9" s="1"/>
  <c r="AK22" i="9" a="1"/>
  <c r="AK22" i="9" s="1"/>
  <c r="AJ11" i="9"/>
  <c r="AJ10" i="9"/>
  <c r="AJ37" i="9"/>
  <c r="AJ18" i="9"/>
  <c r="AJ20" i="9"/>
  <c r="AJ36" i="9"/>
  <c r="AJ24" i="9"/>
  <c r="AJ35" i="9"/>
  <c r="AJ23" i="9"/>
  <c r="AJ33" i="9"/>
  <c r="AJ21" i="9"/>
  <c r="AJ30" i="9"/>
  <c r="AJ32" i="9"/>
  <c r="AJ29" i="9"/>
  <c r="AJ16" i="9"/>
  <c r="AJ27" i="9"/>
  <c r="AJ26" i="9"/>
  <c r="AJ15" i="9"/>
  <c r="AL34" i="9" a="1"/>
  <c r="AL34" i="9" s="1"/>
  <c r="AK34" i="9" a="1"/>
  <c r="AK34" i="9" s="1"/>
  <c r="AJ17" i="9"/>
  <c r="AJ28" i="9"/>
  <c r="AJ14" i="9"/>
  <c r="AJ25" i="9"/>
  <c r="AM19" i="9"/>
  <c r="G78" i="9"/>
  <c r="G79" i="9" s="1"/>
  <c r="G80" i="9" s="1"/>
  <c r="G81" i="9" s="1"/>
  <c r="G82" i="9" s="1"/>
  <c r="G83" i="9" s="1"/>
  <c r="G84" i="9" s="1"/>
  <c r="G85" i="9" s="1"/>
  <c r="L11" i="9"/>
  <c r="L12" i="9" s="1"/>
  <c r="V9" i="9" a="1"/>
  <c r="V9" i="9" s="1"/>
  <c r="J74" i="9"/>
  <c r="I74" i="9"/>
  <c r="G11" i="9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D10" i="9"/>
  <c r="A11" i="9"/>
  <c r="AN22" i="9" a="1"/>
  <c r="AM22" i="9" a="1"/>
  <c r="AN13" i="9" a="1"/>
  <c r="AM13" i="9" a="1"/>
  <c r="AM34" i="9" a="1"/>
  <c r="AN34" i="9" a="1"/>
  <c r="AN31" i="9" a="1"/>
  <c r="AM31" i="9" a="1"/>
  <c r="AN12" i="9" a="1"/>
  <c r="AM12" i="9" a="1"/>
  <c r="AM11" i="9" a="1"/>
  <c r="AN11" i="9" a="1"/>
  <c r="AM10" i="9" a="1"/>
  <c r="AN10" i="9" a="1"/>
  <c r="AM30" i="9" a="1"/>
  <c r="AN30" i="9" a="1"/>
  <c r="AM25" i="9" a="1"/>
  <c r="AN25" i="9" a="1"/>
  <c r="B11" i="9" a="1"/>
  <c r="AM37" i="9" a="1"/>
  <c r="AN37" i="9" a="1"/>
  <c r="AM32" i="9" a="1"/>
  <c r="AN32" i="9" a="1"/>
  <c r="H78" i="9" a="1"/>
  <c r="AM18" i="9" a="1"/>
  <c r="AN18" i="9" a="1"/>
  <c r="AM29" i="9" a="1"/>
  <c r="AN29" i="9" a="1"/>
  <c r="H79" i="9" a="1"/>
  <c r="AM20" i="9" a="1"/>
  <c r="AN20" i="9" a="1"/>
  <c r="AM16" i="9" a="1"/>
  <c r="AN16" i="9" a="1"/>
  <c r="H81" i="9" a="1"/>
  <c r="AM27" i="9" a="1"/>
  <c r="AN27" i="9" a="1"/>
  <c r="AM36" i="9" a="1"/>
  <c r="AN36" i="9" a="1"/>
  <c r="AM15" i="9" a="1"/>
  <c r="AN15" i="9" a="1"/>
  <c r="H80" i="9" a="1"/>
  <c r="AM24" i="9" a="1"/>
  <c r="AN24" i="9" a="1"/>
  <c r="H82" i="9" a="1"/>
  <c r="H77" i="9" a="1"/>
  <c r="AM26" i="9" a="1"/>
  <c r="AN26" i="9" a="1"/>
  <c r="AM35" i="9" a="1"/>
  <c r="AN35" i="9" a="1"/>
  <c r="H83" i="9" a="1"/>
  <c r="AM23" i="9" a="1"/>
  <c r="AN23" i="9" a="1"/>
  <c r="AM17" i="9" a="1"/>
  <c r="AN17" i="9" a="1"/>
  <c r="H85" i="9" a="1"/>
  <c r="AM33" i="9" a="1"/>
  <c r="AN33" i="9" a="1"/>
  <c r="AM28" i="9" a="1"/>
  <c r="AN28" i="9" a="1"/>
  <c r="AM21" i="9" a="1"/>
  <c r="AN21" i="9" a="1"/>
  <c r="AM14" i="9" a="1"/>
  <c r="AN14" i="9" a="1"/>
  <c r="H84" i="9" a="1"/>
  <c r="AM12" i="9" l="1"/>
  <c r="AN12" i="9"/>
  <c r="AM31" i="9"/>
  <c r="AN31" i="9"/>
  <c r="AN34" i="9"/>
  <c r="AM34" i="9"/>
  <c r="AM13" i="9"/>
  <c r="AN13" i="9"/>
  <c r="AM22" i="9"/>
  <c r="AN22" i="9"/>
  <c r="AK31" i="9" a="1"/>
  <c r="AK31" i="9" s="1"/>
  <c r="AK12" i="9" a="1"/>
  <c r="AK12" i="9" s="1"/>
  <c r="AL31" i="9" a="1"/>
  <c r="AL31" i="9" s="1"/>
  <c r="AL12" i="9" a="1"/>
  <c r="AL12" i="9" s="1"/>
  <c r="AN14" i="9"/>
  <c r="AM14" i="9"/>
  <c r="AN21" i="9"/>
  <c r="AM21" i="9"/>
  <c r="AN28" i="9"/>
  <c r="AM28" i="9"/>
  <c r="AN33" i="9"/>
  <c r="AM33" i="9"/>
  <c r="AN17" i="9"/>
  <c r="AM17" i="9"/>
  <c r="AN23" i="9"/>
  <c r="AM23" i="9"/>
  <c r="AN35" i="9"/>
  <c r="AM35" i="9"/>
  <c r="AN26" i="9"/>
  <c r="AM26" i="9"/>
  <c r="AN24" i="9"/>
  <c r="AM24" i="9"/>
  <c r="AN15" i="9"/>
  <c r="AM15" i="9"/>
  <c r="AN36" i="9"/>
  <c r="AM36" i="9"/>
  <c r="AN27" i="9"/>
  <c r="AM27" i="9"/>
  <c r="AN16" i="9"/>
  <c r="AM16" i="9"/>
  <c r="AN20" i="9"/>
  <c r="AM20" i="9"/>
  <c r="AN29" i="9"/>
  <c r="AM29" i="9"/>
  <c r="AN18" i="9"/>
  <c r="AM18" i="9"/>
  <c r="AN32" i="9"/>
  <c r="AM32" i="9"/>
  <c r="AN37" i="9"/>
  <c r="AM37" i="9"/>
  <c r="AN25" i="9"/>
  <c r="AM25" i="9"/>
  <c r="AN30" i="9"/>
  <c r="AM30" i="9"/>
  <c r="AN10" i="9"/>
  <c r="AM10" i="9"/>
  <c r="AN11" i="9"/>
  <c r="AM11" i="9"/>
  <c r="AL14" i="9" a="1"/>
  <c r="AL14" i="9" s="1"/>
  <c r="AK14" i="9" a="1"/>
  <c r="AK14" i="9" s="1"/>
  <c r="AK21" i="9" a="1"/>
  <c r="AK21" i="9" s="1"/>
  <c r="AL21" i="9" a="1"/>
  <c r="AL21" i="9" s="1"/>
  <c r="AL28" i="9" a="1"/>
  <c r="AL28" i="9" s="1"/>
  <c r="AK28" i="9" a="1"/>
  <c r="AK28" i="9" s="1"/>
  <c r="AL33" i="9" a="1"/>
  <c r="AL33" i="9" s="1"/>
  <c r="AK33" i="9" a="1"/>
  <c r="AK33" i="9" s="1"/>
  <c r="AL17" i="9" a="1"/>
  <c r="AL17" i="9" s="1"/>
  <c r="AK17" i="9" a="1"/>
  <c r="AK17" i="9" s="1"/>
  <c r="AL23" i="9" a="1"/>
  <c r="AL23" i="9" s="1"/>
  <c r="AK23" i="9" a="1"/>
  <c r="AK23" i="9" s="1"/>
  <c r="AL35" i="9" a="1"/>
  <c r="AL35" i="9" s="1"/>
  <c r="AK35" i="9" a="1"/>
  <c r="AK35" i="9" s="1"/>
  <c r="AL26" i="9" a="1"/>
  <c r="AL26" i="9" s="1"/>
  <c r="AK26" i="9" a="1"/>
  <c r="AK26" i="9" s="1"/>
  <c r="AL24" i="9" a="1"/>
  <c r="AL24" i="9" s="1"/>
  <c r="AK24" i="9" a="1"/>
  <c r="AK24" i="9" s="1"/>
  <c r="AL15" i="9" a="1"/>
  <c r="AL15" i="9" s="1"/>
  <c r="AK15" i="9" a="1"/>
  <c r="AK15" i="9" s="1"/>
  <c r="AL36" i="9" a="1"/>
  <c r="AL36" i="9" s="1"/>
  <c r="AK36" i="9" a="1"/>
  <c r="AK36" i="9" s="1"/>
  <c r="AK27" i="9" a="1"/>
  <c r="AK27" i="9" s="1"/>
  <c r="AL27" i="9" a="1"/>
  <c r="AL27" i="9" s="1"/>
  <c r="AL16" i="9" a="1"/>
  <c r="AL16" i="9" s="1"/>
  <c r="AK16" i="9" a="1"/>
  <c r="AK16" i="9" s="1"/>
  <c r="AL20" i="9" a="1"/>
  <c r="AL20" i="9" s="1"/>
  <c r="AK20" i="9" a="1"/>
  <c r="AK20" i="9" s="1"/>
  <c r="AL29" i="9" a="1"/>
  <c r="AL29" i="9" s="1"/>
  <c r="AK29" i="9" a="1"/>
  <c r="AK29" i="9" s="1"/>
  <c r="AL18" i="9" a="1"/>
  <c r="AL18" i="9" s="1"/>
  <c r="AK18" i="9" a="1"/>
  <c r="AK18" i="9" s="1"/>
  <c r="AL32" i="9" a="1"/>
  <c r="AL32" i="9" s="1"/>
  <c r="AK32" i="9" a="1"/>
  <c r="AK32" i="9" s="1"/>
  <c r="AL37" i="9" a="1"/>
  <c r="AL37" i="9" s="1"/>
  <c r="AK37" i="9" a="1"/>
  <c r="AK37" i="9" s="1"/>
  <c r="AL25" i="9" a="1"/>
  <c r="AL25" i="9" s="1"/>
  <c r="AK25" i="9" a="1"/>
  <c r="AK25" i="9" s="1"/>
  <c r="AL30" i="9" a="1"/>
  <c r="AL30" i="9" s="1"/>
  <c r="AK30" i="9" a="1"/>
  <c r="AK30" i="9" s="1"/>
  <c r="AL10" i="9" a="1"/>
  <c r="AL10" i="9" s="1"/>
  <c r="AK10" i="9" a="1"/>
  <c r="AK10" i="9" s="1"/>
  <c r="AL11" i="9" a="1"/>
  <c r="AL11" i="9" s="1"/>
  <c r="AK11" i="9" a="1"/>
  <c r="AK11" i="9" s="1"/>
  <c r="B11" i="9"/>
  <c r="A12" i="9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M11" i="9"/>
  <c r="Y9" i="9"/>
  <c r="L13" i="9"/>
  <c r="M12" i="9"/>
  <c r="AC9" i="9"/>
  <c r="AB9" i="9"/>
  <c r="AA9" i="9"/>
  <c r="Z9" i="9"/>
  <c r="H85" i="9"/>
  <c r="H82" i="9"/>
  <c r="H78" i="9"/>
  <c r="H84" i="9"/>
  <c r="H79" i="9"/>
  <c r="H80" i="9"/>
  <c r="H81" i="9"/>
  <c r="H83" i="9"/>
  <c r="H77" i="9"/>
  <c r="X9" i="9"/>
  <c r="W9" i="9"/>
  <c r="M10" i="3"/>
  <c r="AB10" i="3" s="1"/>
  <c r="I3" i="3" a="1"/>
  <c r="L3" i="3" s="1"/>
  <c r="H11" i="3"/>
  <c r="F10" i="3"/>
  <c r="A11" i="3"/>
  <c r="F11" i="3" s="1"/>
  <c r="I84" i="9" a="1"/>
  <c r="H27" i="9" a="1"/>
  <c r="H59" i="9" a="1"/>
  <c r="Q12" i="9" a="1"/>
  <c r="H40" i="9" a="1"/>
  <c r="B27" i="9" a="1"/>
  <c r="H13" i="9" a="1"/>
  <c r="B73" i="9" a="1"/>
  <c r="H17" i="9" a="1"/>
  <c r="B29" i="9" a="1"/>
  <c r="B48" i="9" a="1"/>
  <c r="H61" i="9" a="1"/>
  <c r="B72" i="9" a="1"/>
  <c r="H41" i="9" a="1"/>
  <c r="B40" i="9" a="1"/>
  <c r="B57" i="9" a="1"/>
  <c r="B13" i="9" a="1"/>
  <c r="B59" i="9" a="1"/>
  <c r="B50" i="9" a="1"/>
  <c r="H29" i="9" a="1"/>
  <c r="H71" i="9" a="1"/>
  <c r="B71" i="9" a="1"/>
  <c r="B15" i="9" a="1"/>
  <c r="B41" i="9" a="1"/>
  <c r="B68" i="9" a="1"/>
  <c r="B24" i="9" a="1"/>
  <c r="H12" i="9" a="1"/>
  <c r="B26" i="9" a="1"/>
  <c r="B25" i="9" a="1"/>
  <c r="B65" i="9" a="1"/>
  <c r="B33" i="9" a="1"/>
  <c r="H42" i="9" a="1"/>
  <c r="B39" i="9" a="1"/>
  <c r="R12" i="9" a="1"/>
  <c r="B35" i="9" a="1"/>
  <c r="H54" i="9" a="1"/>
  <c r="O12" i="9" a="1"/>
  <c r="B37" i="9" a="1"/>
  <c r="B56" i="9" a="1"/>
  <c r="H37" i="9" a="1"/>
  <c r="H34" i="9" a="1"/>
  <c r="H44" i="9" a="1"/>
  <c r="H56" i="9" a="1"/>
  <c r="B17" i="9" a="1"/>
  <c r="B60" i="9" a="1"/>
  <c r="H19" i="9" a="1"/>
  <c r="H46" i="9" a="1"/>
  <c r="H69" i="9" a="1"/>
  <c r="I78" i="9" a="1"/>
  <c r="N12" i="9" a="1"/>
  <c r="U11" i="9" a="1"/>
  <c r="B53" i="9" a="1"/>
  <c r="B46" i="9" a="1"/>
  <c r="H11" i="9" a="1"/>
  <c r="B61" i="9" a="1"/>
  <c r="B23" i="9" a="1"/>
  <c r="H50" i="9" a="1"/>
  <c r="B66" i="9" a="1"/>
  <c r="H60" i="9" a="1"/>
  <c r="B36" i="9" a="1"/>
  <c r="P12" i="9" a="1"/>
  <c r="B67" i="9" a="1"/>
  <c r="H73" i="9" a="1"/>
  <c r="O11" i="9" a="1"/>
  <c r="H43" i="9" a="1"/>
  <c r="B70" i="9" a="1"/>
  <c r="H65" i="9" a="1"/>
  <c r="H32" i="9" a="1"/>
  <c r="H66" i="9" a="1"/>
  <c r="B34" i="9" a="1"/>
  <c r="B69" i="9" a="1"/>
  <c r="H62" i="9" a="1"/>
  <c r="S12" i="9" a="1"/>
  <c r="I80" i="9" a="1"/>
  <c r="B44" i="9" a="1"/>
  <c r="B19" i="9" a="1"/>
  <c r="P11" i="9" a="1"/>
  <c r="H30" i="9" a="1"/>
  <c r="H63" i="9" a="1"/>
  <c r="B43" i="9" a="1"/>
  <c r="T12" i="9" a="1"/>
  <c r="B52" i="9" a="1"/>
  <c r="H20" i="9" a="1"/>
  <c r="H35" i="9" a="1"/>
  <c r="B47" i="9" a="1"/>
  <c r="B54" i="9" a="1"/>
  <c r="H68" i="9" a="1"/>
  <c r="B45" i="9" a="1"/>
  <c r="Q11" i="9" a="1"/>
  <c r="B49" i="9" a="1"/>
  <c r="B55" i="9" a="1"/>
  <c r="I82" i="9" a="1"/>
  <c r="H45" i="9" a="1"/>
  <c r="B12" i="9" a="1"/>
  <c r="H16" i="9" a="1"/>
  <c r="B58" i="9" a="1"/>
  <c r="B20" i="9" a="1"/>
  <c r="I81" i="9" a="1"/>
  <c r="H57" i="9" a="1"/>
  <c r="H36" i="9" a="1"/>
  <c r="H18" i="9" a="1"/>
  <c r="H52" i="9" a="1"/>
  <c r="B16" i="9" a="1"/>
  <c r="N11" i="9" a="1"/>
  <c r="H33" i="9" a="1"/>
  <c r="H26" i="9" a="1"/>
  <c r="B63" i="9" a="1"/>
  <c r="H39" i="9" a="1"/>
  <c r="B18" i="9" a="1"/>
  <c r="H38" i="9" a="1"/>
  <c r="T11" i="9" a="1"/>
  <c r="B38" i="9" a="1"/>
  <c r="U12" i="9" a="1"/>
  <c r="B4" i="3" a="1"/>
  <c r="I77" i="9" a="1"/>
  <c r="H28" i="9" a="1"/>
  <c r="H72" i="9" a="1"/>
  <c r="R11" i="9" a="1"/>
  <c r="H47" i="9" a="1"/>
  <c r="H21" i="9" a="1"/>
  <c r="H51" i="9" a="1"/>
  <c r="B62" i="9" a="1"/>
  <c r="B42" i="9" a="1"/>
  <c r="H64" i="9" a="1"/>
  <c r="I85" i="9" a="1"/>
  <c r="D4" i="3" a="1"/>
  <c r="H53" i="9" a="1"/>
  <c r="H55" i="9" a="1"/>
  <c r="B32" i="9" a="1"/>
  <c r="H48" i="9" a="1"/>
  <c r="I83" i="9" a="1"/>
  <c r="S11" i="9" a="1"/>
  <c r="B14" i="9" a="1"/>
  <c r="H49" i="9" a="1"/>
  <c r="H15" i="9" a="1"/>
  <c r="H23" i="9" a="1"/>
  <c r="H24" i="9" a="1"/>
  <c r="B64" i="9" a="1"/>
  <c r="H31" i="9" a="1"/>
  <c r="B28" i="9" a="1"/>
  <c r="B31" i="9" a="1"/>
  <c r="H70" i="9" a="1"/>
  <c r="H25" i="9" a="1"/>
  <c r="I79" i="9" a="1"/>
  <c r="H58" i="9" a="1"/>
  <c r="B30" i="9" a="1"/>
  <c r="H14" i="9" a="1"/>
  <c r="H67" i="9" a="1"/>
  <c r="C4" i="3" a="1"/>
  <c r="E4" i="3" a="1"/>
  <c r="B21" i="9" a="1"/>
  <c r="H22" i="9" a="1"/>
  <c r="B51" i="9" a="1"/>
  <c r="B22" i="9" a="1"/>
  <c r="R11" i="9" l="1"/>
  <c r="T11" i="9"/>
  <c r="N11" i="9"/>
  <c r="S11" i="9"/>
  <c r="Q11" i="9"/>
  <c r="P11" i="9"/>
  <c r="O11" i="9"/>
  <c r="U11" i="9"/>
  <c r="H12" i="3"/>
  <c r="M11" i="3"/>
  <c r="AB11" i="3" s="1"/>
  <c r="A12" i="3"/>
  <c r="O12" i="9"/>
  <c r="N12" i="9"/>
  <c r="S12" i="9"/>
  <c r="Q12" i="9"/>
  <c r="P12" i="9"/>
  <c r="T12" i="9"/>
  <c r="U12" i="9"/>
  <c r="R12" i="9"/>
  <c r="L14" i="9"/>
  <c r="M13" i="9"/>
  <c r="I81" i="9"/>
  <c r="I80" i="9"/>
  <c r="I78" i="9"/>
  <c r="I79" i="9"/>
  <c r="I82" i="9"/>
  <c r="I77" i="9"/>
  <c r="I85" i="9"/>
  <c r="I83" i="9"/>
  <c r="I84" i="9"/>
  <c r="H43" i="9"/>
  <c r="B54" i="9"/>
  <c r="H55" i="9"/>
  <c r="B16" i="9"/>
  <c r="B25" i="9"/>
  <c r="H13" i="9"/>
  <c r="B20" i="9"/>
  <c r="B64" i="9"/>
  <c r="B22" i="9"/>
  <c r="H69" i="9"/>
  <c r="H29" i="9"/>
  <c r="H38" i="9"/>
  <c r="B35" i="9"/>
  <c r="H30" i="9"/>
  <c r="H51" i="9"/>
  <c r="H58" i="9"/>
  <c r="B31" i="9"/>
  <c r="H53" i="9"/>
  <c r="B43" i="9"/>
  <c r="H54" i="9"/>
  <c r="B67" i="9"/>
  <c r="H70" i="9"/>
  <c r="B53" i="9"/>
  <c r="B69" i="9"/>
  <c r="B44" i="9"/>
  <c r="B38" i="9"/>
  <c r="H72" i="9"/>
  <c r="B71" i="9"/>
  <c r="H34" i="9"/>
  <c r="H56" i="9"/>
  <c r="B73" i="9"/>
  <c r="H20" i="9"/>
  <c r="B36" i="9"/>
  <c r="H59" i="9"/>
  <c r="H63" i="9"/>
  <c r="B66" i="9"/>
  <c r="H67" i="9"/>
  <c r="H23" i="9"/>
  <c r="H47" i="9"/>
  <c r="H18" i="9"/>
  <c r="B17" i="9"/>
  <c r="B12" i="9"/>
  <c r="B47" i="9"/>
  <c r="B39" i="9"/>
  <c r="H73" i="9"/>
  <c r="H32" i="9"/>
  <c r="B55" i="9"/>
  <c r="H15" i="9"/>
  <c r="H40" i="9"/>
  <c r="B52" i="9"/>
  <c r="B68" i="9"/>
  <c r="B49" i="9"/>
  <c r="H57" i="9"/>
  <c r="B33" i="9"/>
  <c r="H37" i="9"/>
  <c r="H36" i="9"/>
  <c r="B40" i="9"/>
  <c r="B42" i="9"/>
  <c r="B34" i="9"/>
  <c r="B37" i="9"/>
  <c r="H16" i="9"/>
  <c r="B72" i="9"/>
  <c r="B18" i="9"/>
  <c r="H14" i="9"/>
  <c r="H17" i="9"/>
  <c r="H41" i="9"/>
  <c r="H71" i="9"/>
  <c r="B70" i="9"/>
  <c r="H42" i="9"/>
  <c r="B15" i="9"/>
  <c r="B45" i="9"/>
  <c r="B24" i="9"/>
  <c r="H22" i="9"/>
  <c r="B48" i="9"/>
  <c r="H12" i="9"/>
  <c r="H49" i="9"/>
  <c r="B14" i="9"/>
  <c r="H61" i="9"/>
  <c r="B62" i="9"/>
  <c r="H33" i="9"/>
  <c r="B26" i="9"/>
  <c r="H44" i="9"/>
  <c r="H39" i="9"/>
  <c r="H28" i="9"/>
  <c r="B58" i="9"/>
  <c r="H65" i="9"/>
  <c r="H66" i="9"/>
  <c r="B32" i="9"/>
  <c r="B28" i="9"/>
  <c r="H62" i="9"/>
  <c r="B51" i="9"/>
  <c r="H31" i="9"/>
  <c r="H68" i="9"/>
  <c r="H50" i="9"/>
  <c r="H27" i="9"/>
  <c r="H11" i="9"/>
  <c r="B30" i="9"/>
  <c r="B61" i="9"/>
  <c r="H64" i="9"/>
  <c r="B29" i="9"/>
  <c r="B56" i="9"/>
  <c r="B41" i="9"/>
  <c r="B19" i="9"/>
  <c r="B46" i="9"/>
  <c r="H45" i="9"/>
  <c r="B27" i="9"/>
  <c r="B60" i="9"/>
  <c r="H19" i="9"/>
  <c r="H24" i="9"/>
  <c r="B59" i="9"/>
  <c r="H60" i="9"/>
  <c r="B63" i="9"/>
  <c r="H52" i="9"/>
  <c r="B50" i="9"/>
  <c r="B65" i="9"/>
  <c r="H46" i="9"/>
  <c r="B13" i="9"/>
  <c r="B21" i="9"/>
  <c r="H48" i="9"/>
  <c r="B23" i="9"/>
  <c r="B57" i="9"/>
  <c r="H35" i="9"/>
  <c r="H25" i="9"/>
  <c r="H21" i="9"/>
  <c r="H26" i="9"/>
  <c r="J3" i="3"/>
  <c r="I3" i="3"/>
  <c r="M3" i="3"/>
  <c r="K3" i="3"/>
  <c r="C4" i="3"/>
  <c r="D4" i="3"/>
  <c r="E4" i="3"/>
  <c r="B4" i="3"/>
  <c r="J48" i="9" a="1"/>
  <c r="I20" i="9" a="1"/>
  <c r="P13" i="9" a="1"/>
  <c r="E36" i="9" a="1"/>
  <c r="D17" i="9" a="1"/>
  <c r="J65" i="9" a="1"/>
  <c r="C15" i="9" a="1"/>
  <c r="I51" i="9" a="1"/>
  <c r="E42" i="9" a="1"/>
  <c r="C71" i="9" a="1"/>
  <c r="J28" i="9" a="1"/>
  <c r="D69" i="9" a="1"/>
  <c r="E27" i="9" a="1"/>
  <c r="J23" i="9" a="1"/>
  <c r="I71" i="9" a="1"/>
  <c r="J70" i="9" a="1"/>
  <c r="E73" i="9" a="1"/>
  <c r="E51" i="9" a="1"/>
  <c r="D64" i="9" a="1"/>
  <c r="C50" i="9" a="1"/>
  <c r="D27" i="9" a="1"/>
  <c r="J68" i="9" a="1"/>
  <c r="I63" i="9" a="1"/>
  <c r="E43" i="9" a="1"/>
  <c r="E37" i="9" a="1"/>
  <c r="C51" i="9" a="1"/>
  <c r="J54" i="9" a="1"/>
  <c r="I28" i="9" a="1"/>
  <c r="C42" i="9" a="1"/>
  <c r="E70" i="9" a="1"/>
  <c r="D49" i="9" a="1"/>
  <c r="I54" i="9" a="1"/>
  <c r="E35" i="9" a="1"/>
  <c r="I46" i="9" a="1"/>
  <c r="D46" i="9" a="1"/>
  <c r="D65" i="9" a="1"/>
  <c r="D34" i="9" a="1"/>
  <c r="D22" i="9" a="1"/>
  <c r="J40" i="9" a="1"/>
  <c r="C60" i="9" a="1"/>
  <c r="C13" i="9" a="1"/>
  <c r="D19" i="9" a="1"/>
  <c r="D35" i="9" a="1"/>
  <c r="C30" i="9" a="1"/>
  <c r="D20" i="9" a="1"/>
  <c r="E24" i="9" a="1"/>
  <c r="D62" i="9" a="1"/>
  <c r="D16" i="9" a="1"/>
  <c r="I35" i="9" a="1"/>
  <c r="C19" i="9" a="1"/>
  <c r="D50" i="9" a="1"/>
  <c r="I32" i="9" a="1"/>
  <c r="E31" i="9" a="1"/>
  <c r="E47" i="9" a="1"/>
  <c r="I57" i="9" a="1"/>
  <c r="I37" i="9" a="1"/>
  <c r="D36" i="9" a="1"/>
  <c r="I33" i="9" a="1"/>
  <c r="I62" i="9" a="1"/>
  <c r="B5" i="3" a="1"/>
  <c r="E52" i="9" a="1"/>
  <c r="E69" i="9" a="1"/>
  <c r="I52" i="9" a="1"/>
  <c r="D58" i="9" a="1"/>
  <c r="I27" i="9" a="1"/>
  <c r="C17" i="9" a="1"/>
  <c r="E26" i="9" a="1"/>
  <c r="D68" i="9" a="1"/>
  <c r="D33" i="9" a="1"/>
  <c r="E60" i="9" a="1"/>
  <c r="J43" i="9" a="1"/>
  <c r="C27" i="9" a="1"/>
  <c r="J31" i="9" a="1"/>
  <c r="D72" i="9" a="1"/>
  <c r="J38" i="9" a="1"/>
  <c r="C44" i="9" a="1"/>
  <c r="T13" i="9" a="1"/>
  <c r="J16" i="9" a="1"/>
  <c r="D23" i="9" a="1"/>
  <c r="I34" i="9" a="1"/>
  <c r="I48" i="9" a="1"/>
  <c r="J32" i="9" a="1"/>
  <c r="E30" i="9" a="1"/>
  <c r="C65" i="9" a="1"/>
  <c r="D59" i="9" a="1"/>
  <c r="I56" i="9" a="1"/>
  <c r="S13" i="9" a="1"/>
  <c r="E34" i="9" a="1"/>
  <c r="C53" i="9" a="1"/>
  <c r="I69" i="9" a="1"/>
  <c r="C68" i="9" a="1"/>
  <c r="I21" i="9" a="1"/>
  <c r="E28" i="9" a="1"/>
  <c r="E25" i="9" a="1"/>
  <c r="C58" i="9" a="1"/>
  <c r="D41" i="9" a="1"/>
  <c r="C32" i="9" a="1"/>
  <c r="J34" i="9" a="1"/>
  <c r="E53" i="9" a="1"/>
  <c r="I29" i="9" a="1"/>
  <c r="C46" i="9" a="1"/>
  <c r="D57" i="9" a="1"/>
  <c r="E29" i="9" a="1"/>
  <c r="J36" i="9" a="1"/>
  <c r="E16" i="9" a="1"/>
  <c r="E64" i="9" a="1"/>
  <c r="I12" i="9" a="1"/>
  <c r="E71" i="9" a="1"/>
  <c r="E66" i="9" a="1"/>
  <c r="I65" i="9" a="1"/>
  <c r="I70" i="9" a="1"/>
  <c r="E44" i="9" a="1"/>
  <c r="I36" i="9" a="1"/>
  <c r="U13" i="9" a="1"/>
  <c r="I67" i="9" a="1"/>
  <c r="I58" i="9" a="1"/>
  <c r="I55" i="9" a="1"/>
  <c r="D67" i="9" a="1"/>
  <c r="D26" i="9" a="1"/>
  <c r="C24" i="9" a="1"/>
  <c r="J45" i="9" a="1"/>
  <c r="D53" i="9" a="1"/>
  <c r="J13" i="9" a="1"/>
  <c r="I15" i="9" a="1"/>
  <c r="E61" i="9" a="1"/>
  <c r="C37" i="9" a="1"/>
  <c r="I26" i="9" a="1"/>
  <c r="C23" i="9" a="1"/>
  <c r="C36" i="9" a="1"/>
  <c r="E62" i="9" a="1"/>
  <c r="C20" i="9" a="1"/>
  <c r="J24" i="9" a="1"/>
  <c r="I13" i="9" a="1"/>
  <c r="E23" i="9" a="1"/>
  <c r="I41" i="9" a="1"/>
  <c r="E32" i="9" a="1"/>
  <c r="C38" i="9" a="1"/>
  <c r="C63" i="9" a="1"/>
  <c r="I43" i="9" a="1"/>
  <c r="J35" i="9" a="1"/>
  <c r="C67" i="9" a="1"/>
  <c r="I49" i="9" a="1"/>
  <c r="E22" i="9" a="1"/>
  <c r="I17" i="9" a="1"/>
  <c r="J56" i="9" a="1"/>
  <c r="E5" i="3" a="1"/>
  <c r="I38" i="9" a="1"/>
  <c r="J67" i="9" a="1"/>
  <c r="E56" i="9" a="1"/>
  <c r="E13" i="9" a="1"/>
  <c r="J30" i="9" a="1"/>
  <c r="J53" i="9" a="1"/>
  <c r="C12" i="9" a="1"/>
  <c r="D71" i="9" a="1"/>
  <c r="D32" i="9" a="1"/>
  <c r="D21" i="9" a="1"/>
  <c r="I18" i="9" a="1"/>
  <c r="I16" i="9" a="1"/>
  <c r="E18" i="9" a="1"/>
  <c r="J57" i="9" a="1"/>
  <c r="D11" i="9" a="1"/>
  <c r="J73" i="9" a="1"/>
  <c r="C49" i="9" a="1"/>
  <c r="J18" i="9" a="1"/>
  <c r="I23" i="9" a="1"/>
  <c r="C25" i="9" a="1"/>
  <c r="E15" i="9" a="1"/>
  <c r="Q13" i="9" a="1"/>
  <c r="J58" i="9" a="1"/>
  <c r="J51" i="9" a="1"/>
  <c r="J55" i="9" a="1"/>
  <c r="C54" i="9" a="1"/>
  <c r="C39" i="9" a="1"/>
  <c r="E17" i="9" a="1"/>
  <c r="E12" i="9" a="1"/>
  <c r="J72" i="9" a="1"/>
  <c r="D37" i="9" a="1"/>
  <c r="J63" i="9" a="1"/>
  <c r="D40" i="9" a="1"/>
  <c r="D15" i="9" a="1"/>
  <c r="D56" i="9" a="1"/>
  <c r="J26" i="9" a="1"/>
  <c r="C64" i="9" a="1"/>
  <c r="C70" i="9" a="1"/>
  <c r="D42" i="9" a="1"/>
  <c r="E68" i="9" a="1"/>
  <c r="C43" i="9" a="1"/>
  <c r="J41" i="9" a="1"/>
  <c r="C29" i="9" a="1"/>
  <c r="C11" i="9" a="1"/>
  <c r="E45" i="9" a="1"/>
  <c r="D44" i="9" a="1"/>
  <c r="D60" i="9" a="1"/>
  <c r="J21" i="9" a="1"/>
  <c r="J17" i="9" a="1"/>
  <c r="J33" i="9" a="1"/>
  <c r="J20" i="9" a="1"/>
  <c r="J71" i="9" a="1"/>
  <c r="D13" i="9" a="1"/>
  <c r="D54" i="9" a="1"/>
  <c r="J22" i="9" a="1"/>
  <c r="J12" i="9" a="1"/>
  <c r="J64" i="9" a="1"/>
  <c r="C57" i="9" a="1"/>
  <c r="D31" i="9" a="1"/>
  <c r="E38" i="9" a="1"/>
  <c r="E48" i="9" a="1"/>
  <c r="I14" i="9" a="1"/>
  <c r="C55" i="9" a="1"/>
  <c r="I30" i="9" a="1"/>
  <c r="J60" i="9" a="1"/>
  <c r="N13" i="9" a="1"/>
  <c r="J42" i="9" a="1"/>
  <c r="C22" i="9" a="1"/>
  <c r="E33" i="9" a="1"/>
  <c r="D12" i="9" a="1"/>
  <c r="C18" i="9" a="1"/>
  <c r="J44" i="9" a="1"/>
  <c r="C45" i="9" a="1"/>
  <c r="C66" i="9" a="1"/>
  <c r="E59" i="9" a="1"/>
  <c r="J46" i="9" a="1"/>
  <c r="J66" i="9" a="1"/>
  <c r="E72" i="9" a="1"/>
  <c r="E65" i="9" a="1"/>
  <c r="D30" i="9" a="1"/>
  <c r="D18" i="9" a="1"/>
  <c r="J19" i="9" a="1"/>
  <c r="E41" i="9" a="1"/>
  <c r="D47" i="9" a="1"/>
  <c r="I22" i="9" a="1"/>
  <c r="R13" i="9" a="1"/>
  <c r="E57" i="9" a="1"/>
  <c r="E21" i="9" a="1"/>
  <c r="C72" i="9" a="1"/>
  <c r="J39" i="9" a="1"/>
  <c r="E14" i="9" a="1"/>
  <c r="J50" i="9" a="1"/>
  <c r="C62" i="9" a="1"/>
  <c r="E20" i="9" a="1"/>
  <c r="I11" i="9" a="1"/>
  <c r="E67" i="9" a="1"/>
  <c r="J11" i="9" a="1"/>
  <c r="I66" i="9" a="1"/>
  <c r="I64" i="9" a="1"/>
  <c r="C34" i="9" a="1"/>
  <c r="C28" i="9" a="1"/>
  <c r="E39" i="9" a="1"/>
  <c r="E54" i="9" a="1"/>
  <c r="C26" i="9" a="1"/>
  <c r="E11" i="9" a="1"/>
  <c r="D39" i="9" a="1"/>
  <c r="I31" i="9" a="1"/>
  <c r="C40" i="9" a="1"/>
  <c r="C21" i="9" a="1"/>
  <c r="D25" i="9" a="1"/>
  <c r="J15" i="9" a="1"/>
  <c r="D51" i="9" a="1"/>
  <c r="D66" i="9" a="1"/>
  <c r="I42" i="9" a="1"/>
  <c r="J52" i="9" a="1"/>
  <c r="C16" i="9" a="1"/>
  <c r="I40" i="9" a="1"/>
  <c r="I47" i="9" a="1"/>
  <c r="C59" i="9" a="1"/>
  <c r="C73" i="9" a="1"/>
  <c r="I25" i="9" a="1"/>
  <c r="E49" i="9" a="1"/>
  <c r="E50" i="9" a="1"/>
  <c r="E19" i="9" a="1"/>
  <c r="D52" i="9" a="1"/>
  <c r="D43" i="9" a="1"/>
  <c r="C35" i="9" a="1"/>
  <c r="I24" i="9" a="1"/>
  <c r="I72" i="9" a="1"/>
  <c r="C52" i="9" a="1"/>
  <c r="I53" i="9" a="1"/>
  <c r="J29" i="9" a="1"/>
  <c r="C41" i="9" a="1"/>
  <c r="J25" i="9" a="1"/>
  <c r="D73" i="9" a="1"/>
  <c r="I73" i="9" a="1"/>
  <c r="D70" i="9" a="1"/>
  <c r="D61" i="9" a="1"/>
  <c r="I19" i="9" a="1"/>
  <c r="E58" i="9" a="1"/>
  <c r="D28" i="9" a="1"/>
  <c r="I59" i="9" a="1"/>
  <c r="C47" i="9" a="1"/>
  <c r="D48" i="9" a="1"/>
  <c r="J61" i="9" a="1"/>
  <c r="J27" i="9" a="1"/>
  <c r="E63" i="9" a="1"/>
  <c r="D24" i="9" a="1"/>
  <c r="C56" i="9" a="1"/>
  <c r="I61" i="9" a="1"/>
  <c r="J69" i="9" a="1"/>
  <c r="C31" i="9" a="1"/>
  <c r="C61" i="9" a="1"/>
  <c r="J49" i="9" a="1"/>
  <c r="C69" i="9" a="1"/>
  <c r="C5" i="3" a="1"/>
  <c r="D29" i="9" a="1"/>
  <c r="I44" i="9" a="1"/>
  <c r="I45" i="9" a="1"/>
  <c r="D55" i="9" a="1"/>
  <c r="J62" i="9" a="1"/>
  <c r="E46" i="9" a="1"/>
  <c r="D14" i="9" a="1"/>
  <c r="J59" i="9" a="1"/>
  <c r="J47" i="9" a="1"/>
  <c r="C14" i="9" a="1"/>
  <c r="I68" i="9" a="1"/>
  <c r="D45" i="9" a="1"/>
  <c r="C33" i="9" a="1"/>
  <c r="O13" i="9" a="1"/>
  <c r="J14" i="9" a="1"/>
  <c r="I39" i="9" a="1"/>
  <c r="D5" i="3" a="1"/>
  <c r="E55" i="9" a="1"/>
  <c r="E40" i="9" a="1"/>
  <c r="I50" i="9" a="1"/>
  <c r="C48" i="9" a="1"/>
  <c r="D38" i="9" a="1"/>
  <c r="D63" i="9" a="1"/>
  <c r="J37" i="9" a="1"/>
  <c r="I60" i="9" a="1"/>
  <c r="A13" i="3" l="1"/>
  <c r="F12" i="3"/>
  <c r="H13" i="3"/>
  <c r="M12" i="3"/>
  <c r="AB12" i="3" s="1"/>
  <c r="O13" i="9"/>
  <c r="N13" i="9"/>
  <c r="P13" i="9"/>
  <c r="Q13" i="9"/>
  <c r="R13" i="9"/>
  <c r="T13" i="9"/>
  <c r="U13" i="9"/>
  <c r="S13" i="9"/>
  <c r="L15" i="9"/>
  <c r="M14" i="9"/>
  <c r="J46" i="9"/>
  <c r="I46" i="9"/>
  <c r="D46" i="9"/>
  <c r="C46" i="9"/>
  <c r="E46" i="9"/>
  <c r="D19" i="9"/>
  <c r="C19" i="9"/>
  <c r="E19" i="9"/>
  <c r="I42" i="9"/>
  <c r="J42" i="9"/>
  <c r="C72" i="9"/>
  <c r="E72" i="9"/>
  <c r="D72" i="9"/>
  <c r="D40" i="9"/>
  <c r="E40" i="9"/>
  <c r="C40" i="9"/>
  <c r="J73" i="9"/>
  <c r="I73" i="9"/>
  <c r="J20" i="9"/>
  <c r="I20" i="9"/>
  <c r="C36" i="9"/>
  <c r="D36" i="9"/>
  <c r="E36" i="9"/>
  <c r="C38" i="9"/>
  <c r="E38" i="9"/>
  <c r="D38" i="9"/>
  <c r="I38" i="9"/>
  <c r="J38" i="9"/>
  <c r="E26" i="9"/>
  <c r="C26" i="9"/>
  <c r="D26" i="9"/>
  <c r="C44" i="9"/>
  <c r="D44" i="9"/>
  <c r="E44" i="9"/>
  <c r="J29" i="9"/>
  <c r="I29" i="9"/>
  <c r="I64" i="9"/>
  <c r="J64" i="9"/>
  <c r="I44" i="9"/>
  <c r="J44" i="9"/>
  <c r="E14" i="9"/>
  <c r="D14" i="9"/>
  <c r="C14" i="9"/>
  <c r="D42" i="9"/>
  <c r="C42" i="9"/>
  <c r="E42" i="9"/>
  <c r="C22" i="9"/>
  <c r="D22" i="9"/>
  <c r="E22" i="9"/>
  <c r="C65" i="9"/>
  <c r="E65" i="9"/>
  <c r="D65" i="9"/>
  <c r="I60" i="9"/>
  <c r="J60" i="9"/>
  <c r="C61" i="9"/>
  <c r="D61" i="9"/>
  <c r="E61" i="9"/>
  <c r="J40" i="9"/>
  <c r="I40" i="9"/>
  <c r="D59" i="9"/>
  <c r="C59" i="9"/>
  <c r="E59" i="9"/>
  <c r="J36" i="9"/>
  <c r="I36" i="9"/>
  <c r="E43" i="9"/>
  <c r="D43" i="9"/>
  <c r="C43" i="9"/>
  <c r="I24" i="9"/>
  <c r="J24" i="9"/>
  <c r="D41" i="9"/>
  <c r="E41" i="9"/>
  <c r="C41" i="9"/>
  <c r="C30" i="9"/>
  <c r="E30" i="9"/>
  <c r="D30" i="9"/>
  <c r="J31" i="9"/>
  <c r="I31" i="9"/>
  <c r="J33" i="9"/>
  <c r="I33" i="9"/>
  <c r="I71" i="9"/>
  <c r="J71" i="9"/>
  <c r="J37" i="9"/>
  <c r="I37" i="9"/>
  <c r="E55" i="9"/>
  <c r="D55" i="9"/>
  <c r="C55" i="9"/>
  <c r="C39" i="9"/>
  <c r="E39" i="9"/>
  <c r="D39" i="9"/>
  <c r="J23" i="9"/>
  <c r="I23" i="9"/>
  <c r="E69" i="9"/>
  <c r="C69" i="9"/>
  <c r="D69" i="9"/>
  <c r="I53" i="9"/>
  <c r="J53" i="9"/>
  <c r="I55" i="9"/>
  <c r="J55" i="9"/>
  <c r="I19" i="9"/>
  <c r="J19" i="9"/>
  <c r="E31" i="9"/>
  <c r="C31" i="9"/>
  <c r="D31" i="9"/>
  <c r="D50" i="9"/>
  <c r="E50" i="9"/>
  <c r="C50" i="9"/>
  <c r="I68" i="9"/>
  <c r="J68" i="9"/>
  <c r="C70" i="9"/>
  <c r="E70" i="9"/>
  <c r="D70" i="9"/>
  <c r="J15" i="9"/>
  <c r="I15" i="9"/>
  <c r="D64" i="9"/>
  <c r="C64" i="9"/>
  <c r="E64" i="9"/>
  <c r="I35" i="9"/>
  <c r="J35" i="9"/>
  <c r="J48" i="9"/>
  <c r="I48" i="9"/>
  <c r="J52" i="9"/>
  <c r="I52" i="9"/>
  <c r="E60" i="9"/>
  <c r="D60" i="9"/>
  <c r="C60" i="9"/>
  <c r="E33" i="9"/>
  <c r="D33" i="9"/>
  <c r="C33" i="9"/>
  <c r="I47" i="9"/>
  <c r="J47" i="9"/>
  <c r="I25" i="9"/>
  <c r="J25" i="9"/>
  <c r="E23" i="9"/>
  <c r="C23" i="9"/>
  <c r="D23" i="9"/>
  <c r="E56" i="9"/>
  <c r="C56" i="9"/>
  <c r="D56" i="9"/>
  <c r="C51" i="9"/>
  <c r="E51" i="9"/>
  <c r="D51" i="9"/>
  <c r="I49" i="9"/>
  <c r="J49" i="9"/>
  <c r="J32" i="9"/>
  <c r="I32" i="9"/>
  <c r="D53" i="9"/>
  <c r="E53" i="9"/>
  <c r="C53" i="9"/>
  <c r="J66" i="9"/>
  <c r="I66" i="9"/>
  <c r="C11" i="9"/>
  <c r="D11" i="9"/>
  <c r="E11" i="9"/>
  <c r="J12" i="9"/>
  <c r="I12" i="9"/>
  <c r="J41" i="9"/>
  <c r="I41" i="9"/>
  <c r="I16" i="9"/>
  <c r="J16" i="9"/>
  <c r="J67" i="9"/>
  <c r="I67" i="9"/>
  <c r="E73" i="9"/>
  <c r="C73" i="9"/>
  <c r="D73" i="9"/>
  <c r="E21" i="9"/>
  <c r="C21" i="9"/>
  <c r="D21" i="9"/>
  <c r="C28" i="9"/>
  <c r="D28" i="9"/>
  <c r="E28" i="9"/>
  <c r="D20" i="9"/>
  <c r="C20" i="9"/>
  <c r="E20" i="9"/>
  <c r="I26" i="9"/>
  <c r="J26" i="9"/>
  <c r="D63" i="9"/>
  <c r="C63" i="9"/>
  <c r="E63" i="9"/>
  <c r="I62" i="9"/>
  <c r="J62" i="9"/>
  <c r="I65" i="9"/>
  <c r="J65" i="9"/>
  <c r="C62" i="9"/>
  <c r="E62" i="9"/>
  <c r="D62" i="9"/>
  <c r="D48" i="9"/>
  <c r="E48" i="9"/>
  <c r="C48" i="9"/>
  <c r="D37" i="9"/>
  <c r="C37" i="9"/>
  <c r="E37" i="9"/>
  <c r="D66" i="9"/>
  <c r="E66" i="9"/>
  <c r="C66" i="9"/>
  <c r="J56" i="9"/>
  <c r="I56" i="9"/>
  <c r="I70" i="9"/>
  <c r="J70" i="9"/>
  <c r="C54" i="9"/>
  <c r="E54" i="9"/>
  <c r="D54" i="9"/>
  <c r="I22" i="9"/>
  <c r="J22" i="9"/>
  <c r="J57" i="9"/>
  <c r="I57" i="9"/>
  <c r="J43" i="9"/>
  <c r="I43" i="9"/>
  <c r="D57" i="9"/>
  <c r="E57" i="9"/>
  <c r="C57" i="9"/>
  <c r="E27" i="9"/>
  <c r="C27" i="9"/>
  <c r="D27" i="9"/>
  <c r="J11" i="9"/>
  <c r="I11" i="9"/>
  <c r="C24" i="9"/>
  <c r="E24" i="9"/>
  <c r="D24" i="9"/>
  <c r="I17" i="9"/>
  <c r="J17" i="9"/>
  <c r="D49" i="9"/>
  <c r="E49" i="9"/>
  <c r="C49" i="9"/>
  <c r="C47" i="9"/>
  <c r="E47" i="9"/>
  <c r="D47" i="9"/>
  <c r="I63" i="9"/>
  <c r="J63" i="9"/>
  <c r="J34" i="9"/>
  <c r="I34" i="9"/>
  <c r="J58" i="9"/>
  <c r="I58" i="9"/>
  <c r="I13" i="9"/>
  <c r="J13" i="9"/>
  <c r="D13" i="9"/>
  <c r="C13" i="9"/>
  <c r="E13" i="9"/>
  <c r="I45" i="9"/>
  <c r="J45" i="9"/>
  <c r="C32" i="9"/>
  <c r="D32" i="9"/>
  <c r="E32" i="9"/>
  <c r="D58" i="9"/>
  <c r="E58" i="9"/>
  <c r="C58" i="9"/>
  <c r="I61" i="9"/>
  <c r="J61" i="9"/>
  <c r="C45" i="9"/>
  <c r="D45" i="9"/>
  <c r="E45" i="9"/>
  <c r="J14" i="9"/>
  <c r="I14" i="9"/>
  <c r="D68" i="9"/>
  <c r="E68" i="9"/>
  <c r="C68" i="9"/>
  <c r="C12" i="9"/>
  <c r="D12" i="9"/>
  <c r="E12" i="9"/>
  <c r="E71" i="9"/>
  <c r="D71" i="9"/>
  <c r="C71" i="9"/>
  <c r="D67" i="9"/>
  <c r="E67" i="9"/>
  <c r="C67" i="9"/>
  <c r="J51" i="9"/>
  <c r="I51" i="9"/>
  <c r="E25" i="9"/>
  <c r="D25" i="9"/>
  <c r="C25" i="9"/>
  <c r="E29" i="9"/>
  <c r="C29" i="9"/>
  <c r="D29" i="9"/>
  <c r="I27" i="9"/>
  <c r="J27" i="9"/>
  <c r="I28" i="9"/>
  <c r="J28" i="9"/>
  <c r="D15" i="9"/>
  <c r="C15" i="9"/>
  <c r="E15" i="9"/>
  <c r="C18" i="9"/>
  <c r="D18" i="9"/>
  <c r="E18" i="9"/>
  <c r="D17" i="9"/>
  <c r="E17" i="9"/>
  <c r="C17" i="9"/>
  <c r="I72" i="9"/>
  <c r="J72" i="9"/>
  <c r="I54" i="9"/>
  <c r="J54" i="9"/>
  <c r="J30" i="9"/>
  <c r="I30" i="9"/>
  <c r="J69" i="9"/>
  <c r="I69" i="9"/>
  <c r="I21" i="9"/>
  <c r="J21" i="9"/>
  <c r="I50" i="9"/>
  <c r="J50" i="9"/>
  <c r="J39" i="9"/>
  <c r="I39" i="9"/>
  <c r="C34" i="9"/>
  <c r="D34" i="9"/>
  <c r="E34" i="9"/>
  <c r="D52" i="9"/>
  <c r="C52" i="9"/>
  <c r="E52" i="9"/>
  <c r="I18" i="9"/>
  <c r="J18" i="9"/>
  <c r="I59" i="9"/>
  <c r="J59" i="9"/>
  <c r="C35" i="9"/>
  <c r="E35" i="9"/>
  <c r="D35" i="9"/>
  <c r="E16" i="9"/>
  <c r="D16" i="9"/>
  <c r="C16" i="9"/>
  <c r="E5" i="3"/>
  <c r="D5" i="3"/>
  <c r="C5" i="3"/>
  <c r="B5" i="3"/>
  <c r="N14" i="9" a="1"/>
  <c r="P14" i="9" a="1"/>
  <c r="O14" i="9" a="1"/>
  <c r="T14" i="9" a="1"/>
  <c r="S14" i="9" a="1"/>
  <c r="R14" i="9" a="1"/>
  <c r="U14" i="9" a="1"/>
  <c r="Q14" i="9" a="1"/>
  <c r="H14" i="3" l="1"/>
  <c r="M13" i="3"/>
  <c r="AB13" i="3" s="1"/>
  <c r="A14" i="3"/>
  <c r="F13" i="3"/>
  <c r="P14" i="9"/>
  <c r="R14" i="9"/>
  <c r="U14" i="9"/>
  <c r="S14" i="9"/>
  <c r="N14" i="9"/>
  <c r="T14" i="9"/>
  <c r="Q14" i="9"/>
  <c r="O14" i="9"/>
  <c r="L16" i="9"/>
  <c r="M15" i="9"/>
  <c r="B11" i="3"/>
  <c r="D10" i="3"/>
  <c r="D11" i="3"/>
  <c r="D13" i="3"/>
  <c r="E12" i="3"/>
  <c r="B10" i="3"/>
  <c r="B12" i="3"/>
  <c r="B13" i="3"/>
  <c r="C11" i="3"/>
  <c r="C13" i="3"/>
  <c r="C12" i="3"/>
  <c r="E11" i="3"/>
  <c r="J13" i="3"/>
  <c r="J10" i="3"/>
  <c r="O10" i="3" s="1"/>
  <c r="J12" i="3"/>
  <c r="J11" i="3"/>
  <c r="J14" i="3"/>
  <c r="C10" i="3"/>
  <c r="K11" i="3"/>
  <c r="K12" i="3"/>
  <c r="P12" i="3" s="1"/>
  <c r="K14" i="3"/>
  <c r="K13" i="3"/>
  <c r="K10" i="3"/>
  <c r="D12" i="3"/>
  <c r="D14" i="3"/>
  <c r="C14" i="3"/>
  <c r="L11" i="3"/>
  <c r="Q11" i="3" s="1"/>
  <c r="L14" i="3"/>
  <c r="Q14" i="3" s="1"/>
  <c r="L12" i="3"/>
  <c r="L10" i="3"/>
  <c r="L13" i="3"/>
  <c r="E13" i="3"/>
  <c r="E10" i="3"/>
  <c r="I12" i="3"/>
  <c r="I13" i="3"/>
  <c r="I11" i="3"/>
  <c r="I14" i="3"/>
  <c r="I10" i="3"/>
  <c r="S15" i="9" a="1"/>
  <c r="V11" i="3" a="1"/>
  <c r="T10" i="3" a="1"/>
  <c r="U15" i="9" a="1"/>
  <c r="N15" i="9" a="1"/>
  <c r="Q15" i="9" a="1"/>
  <c r="O15" i="9" a="1"/>
  <c r="U12" i="3" a="1"/>
  <c r="P15" i="9" a="1"/>
  <c r="T15" i="9" a="1"/>
  <c r="R15" i="9" a="1"/>
  <c r="A15" i="3" l="1"/>
  <c r="F14" i="3"/>
  <c r="E14" i="3"/>
  <c r="B14" i="3"/>
  <c r="H15" i="3"/>
  <c r="M14" i="3"/>
  <c r="AB14" i="3" s="1"/>
  <c r="O15" i="9"/>
  <c r="R15" i="9"/>
  <c r="T15" i="9"/>
  <c r="U15" i="9"/>
  <c r="S15" i="9"/>
  <c r="Q15" i="9"/>
  <c r="N15" i="9"/>
  <c r="P15" i="9"/>
  <c r="L17" i="9"/>
  <c r="M16" i="9"/>
  <c r="T10" i="3"/>
  <c r="Y10" i="3" s="1"/>
  <c r="U12" i="3"/>
  <c r="Z12" i="3" s="1"/>
  <c r="V11" i="3"/>
  <c r="AA11" i="3" s="1"/>
  <c r="O14" i="3"/>
  <c r="P13" i="3"/>
  <c r="Q13" i="3"/>
  <c r="N14" i="3"/>
  <c r="N12" i="3"/>
  <c r="Q12" i="3"/>
  <c r="P11" i="3"/>
  <c r="Q10" i="3"/>
  <c r="N10" i="3"/>
  <c r="N11" i="3"/>
  <c r="O13" i="3"/>
  <c r="P14" i="3"/>
  <c r="O12" i="3"/>
  <c r="N13" i="3"/>
  <c r="P10" i="3"/>
  <c r="O11" i="3"/>
  <c r="U11" i="3" a="1"/>
  <c r="S12" i="3" a="1"/>
  <c r="U10" i="3" a="1"/>
  <c r="T14" i="3" a="1"/>
  <c r="U14" i="3" a="1"/>
  <c r="S14" i="3" a="1"/>
  <c r="T11" i="3" a="1"/>
  <c r="O16" i="9" a="1"/>
  <c r="S10" i="3" a="1"/>
  <c r="N16" i="9" a="1"/>
  <c r="V12" i="3" a="1"/>
  <c r="U16" i="9" a="1"/>
  <c r="U13" i="3" a="1"/>
  <c r="V10" i="3" a="1"/>
  <c r="S11" i="3" a="1"/>
  <c r="V14" i="3" a="1"/>
  <c r="T12" i="3" a="1"/>
  <c r="T13" i="3" a="1"/>
  <c r="P16" i="9" a="1"/>
  <c r="R16" i="9" a="1"/>
  <c r="S16" i="9" a="1"/>
  <c r="V13" i="3" a="1"/>
  <c r="Q16" i="9" a="1"/>
  <c r="S13" i="3" a="1"/>
  <c r="T16" i="9" a="1"/>
  <c r="H16" i="3" l="1"/>
  <c r="M15" i="3"/>
  <c r="AB15" i="3" s="1"/>
  <c r="K15" i="3"/>
  <c r="P15" i="3" s="1"/>
  <c r="L15" i="3"/>
  <c r="Q15" i="3" s="1"/>
  <c r="J15" i="3"/>
  <c r="O15" i="3" s="1"/>
  <c r="I15" i="3"/>
  <c r="N15" i="3" s="1"/>
  <c r="A16" i="3"/>
  <c r="F15" i="3"/>
  <c r="C15" i="3"/>
  <c r="E15" i="3"/>
  <c r="B15" i="3"/>
  <c r="D15" i="3"/>
  <c r="S12" i="3"/>
  <c r="P16" i="9"/>
  <c r="T16" i="9"/>
  <c r="R16" i="9"/>
  <c r="U16" i="9"/>
  <c r="O16" i="9"/>
  <c r="S16" i="9"/>
  <c r="N16" i="9"/>
  <c r="Q16" i="9"/>
  <c r="L18" i="9"/>
  <c r="M17" i="9"/>
  <c r="T12" i="3"/>
  <c r="Y12" i="3" s="1"/>
  <c r="S11" i="3"/>
  <c r="X11" i="3" s="1"/>
  <c r="S10" i="3"/>
  <c r="X10" i="3" s="1"/>
  <c r="T11" i="3"/>
  <c r="Y11" i="3" s="1"/>
  <c r="V12" i="3"/>
  <c r="AA12" i="3" s="1"/>
  <c r="U11" i="3"/>
  <c r="Z11" i="3" s="1"/>
  <c r="U10" i="3"/>
  <c r="Z10" i="3" s="1"/>
  <c r="V10" i="3"/>
  <c r="AA10" i="3" s="1"/>
  <c r="T13" i="3"/>
  <c r="Y13" i="3" s="1"/>
  <c r="X12" i="3"/>
  <c r="U13" i="3"/>
  <c r="Z13" i="3" s="1"/>
  <c r="S14" i="3"/>
  <c r="X14" i="3" s="1"/>
  <c r="U14" i="3"/>
  <c r="Z14" i="3" s="1"/>
  <c r="S13" i="3"/>
  <c r="X13" i="3" s="1"/>
  <c r="V14" i="3"/>
  <c r="AA14" i="3" s="1"/>
  <c r="T14" i="3"/>
  <c r="Y14" i="3" s="1"/>
  <c r="V13" i="3"/>
  <c r="AA13" i="3" s="1"/>
  <c r="O17" i="9" a="1"/>
  <c r="P17" i="9" a="1"/>
  <c r="T17" i="9" a="1"/>
  <c r="S17" i="9" a="1"/>
  <c r="U15" i="3" a="1"/>
  <c r="V15" i="3" a="1"/>
  <c r="S15" i="3" a="1"/>
  <c r="R17" i="9" a="1"/>
  <c r="U17" i="9" a="1"/>
  <c r="T15" i="3" a="1"/>
  <c r="N17" i="9" a="1"/>
  <c r="Q17" i="9" a="1"/>
  <c r="S15" i="3" l="1"/>
  <c r="X15" i="3" s="1"/>
  <c r="V15" i="3"/>
  <c r="AA15" i="3" s="1"/>
  <c r="U15" i="3"/>
  <c r="Z15" i="3" s="1"/>
  <c r="T15" i="3"/>
  <c r="Y15" i="3" s="1"/>
  <c r="A17" i="3"/>
  <c r="F16" i="3"/>
  <c r="E16" i="3"/>
  <c r="D16" i="3"/>
  <c r="B16" i="3"/>
  <c r="C16" i="3"/>
  <c r="H17" i="3"/>
  <c r="M16" i="3"/>
  <c r="AB16" i="3" s="1"/>
  <c r="J16" i="3"/>
  <c r="O16" i="3" s="1"/>
  <c r="K16" i="3"/>
  <c r="P16" i="3" s="1"/>
  <c r="I16" i="3"/>
  <c r="N16" i="3" s="1"/>
  <c r="L16" i="3"/>
  <c r="Q16" i="3" s="1"/>
  <c r="P17" i="9"/>
  <c r="Q17" i="9"/>
  <c r="N17" i="9"/>
  <c r="T17" i="9"/>
  <c r="O17" i="9"/>
  <c r="U17" i="9"/>
  <c r="R17" i="9"/>
  <c r="S17" i="9"/>
  <c r="L19" i="9"/>
  <c r="M18" i="9"/>
  <c r="P27" i="9" a="1"/>
  <c r="O18" i="9" a="1"/>
  <c r="Q18" i="9" a="1"/>
  <c r="V16" i="3" a="1"/>
  <c r="Q27" i="9" a="1"/>
  <c r="N18" i="9" a="1"/>
  <c r="U18" i="9" a="1"/>
  <c r="P18" i="9" a="1"/>
  <c r="T27" i="9" a="1"/>
  <c r="N27" i="9" a="1"/>
  <c r="S18" i="9" a="1"/>
  <c r="U27" i="9" a="1"/>
  <c r="T18" i="9" a="1"/>
  <c r="U16" i="3" a="1"/>
  <c r="S16" i="3" a="1"/>
  <c r="S27" i="9" a="1"/>
  <c r="R27" i="9" a="1"/>
  <c r="T16" i="3" a="1"/>
  <c r="O27" i="9" a="1"/>
  <c r="R18" i="9" a="1"/>
  <c r="T16" i="3" l="1"/>
  <c r="Y16" i="3" s="1"/>
  <c r="V16" i="3"/>
  <c r="AA16" i="3" s="1"/>
  <c r="S16" i="3"/>
  <c r="X16" i="3" s="1"/>
  <c r="U16" i="3"/>
  <c r="Z16" i="3" s="1"/>
  <c r="H18" i="3"/>
  <c r="M17" i="3"/>
  <c r="AB17" i="3" s="1"/>
  <c r="K17" i="3"/>
  <c r="P17" i="3" s="1"/>
  <c r="I17" i="3"/>
  <c r="N17" i="3" s="1"/>
  <c r="L17" i="3"/>
  <c r="Q17" i="3" s="1"/>
  <c r="J17" i="3"/>
  <c r="O17" i="3" s="1"/>
  <c r="A18" i="3"/>
  <c r="F17" i="3"/>
  <c r="B17" i="3"/>
  <c r="E17" i="3"/>
  <c r="C17" i="3"/>
  <c r="D17" i="3"/>
  <c r="Q18" i="9"/>
  <c r="U18" i="9"/>
  <c r="N18" i="9"/>
  <c r="T18" i="9"/>
  <c r="P18" i="9"/>
  <c r="R18" i="9"/>
  <c r="S18" i="9"/>
  <c r="O18" i="9"/>
  <c r="L20" i="9"/>
  <c r="M19" i="9"/>
  <c r="S27" i="9"/>
  <c r="O27" i="9"/>
  <c r="Q27" i="9"/>
  <c r="P27" i="9"/>
  <c r="N27" i="9"/>
  <c r="U27" i="9"/>
  <c r="T27" i="9"/>
  <c r="R27" i="9"/>
  <c r="M28" i="9"/>
  <c r="V17" i="3" a="1"/>
  <c r="O28" i="9" a="1"/>
  <c r="S17" i="3" a="1"/>
  <c r="R28" i="9" a="1"/>
  <c r="T17" i="3" a="1"/>
  <c r="R19" i="9" a="1"/>
  <c r="Q19" i="9" a="1"/>
  <c r="Q28" i="9" a="1"/>
  <c r="T28" i="9" a="1"/>
  <c r="N28" i="9" a="1"/>
  <c r="P19" i="9" a="1"/>
  <c r="U17" i="3" a="1"/>
  <c r="S28" i="9" a="1"/>
  <c r="N19" i="9" a="1"/>
  <c r="S19" i="9" a="1"/>
  <c r="U19" i="9" a="1"/>
  <c r="U28" i="9" a="1"/>
  <c r="O19" i="9" a="1"/>
  <c r="P28" i="9" a="1"/>
  <c r="T19" i="9" a="1"/>
  <c r="T17" i="3" l="1"/>
  <c r="Y17" i="3" s="1"/>
  <c r="S17" i="3"/>
  <c r="X17" i="3" s="1"/>
  <c r="V17" i="3"/>
  <c r="AA17" i="3" s="1"/>
  <c r="U17" i="3"/>
  <c r="Z17" i="3" s="1"/>
  <c r="A19" i="3"/>
  <c r="F18" i="3"/>
  <c r="B18" i="3"/>
  <c r="D18" i="3"/>
  <c r="C18" i="3"/>
  <c r="E18" i="3"/>
  <c r="H19" i="3"/>
  <c r="M18" i="3"/>
  <c r="AB18" i="3" s="1"/>
  <c r="L18" i="3"/>
  <c r="Q18" i="3" s="1"/>
  <c r="I18" i="3"/>
  <c r="N18" i="3" s="1"/>
  <c r="J18" i="3"/>
  <c r="O18" i="3" s="1"/>
  <c r="K18" i="3"/>
  <c r="P18" i="3" s="1"/>
  <c r="Q19" i="9"/>
  <c r="R19" i="9"/>
  <c r="P19" i="9"/>
  <c r="N19" i="9"/>
  <c r="T19" i="9"/>
  <c r="S19" i="9"/>
  <c r="O19" i="9"/>
  <c r="U19" i="9"/>
  <c r="L21" i="9"/>
  <c r="M20" i="9"/>
  <c r="Q28" i="9"/>
  <c r="U28" i="9"/>
  <c r="N28" i="9"/>
  <c r="S28" i="9"/>
  <c r="R28" i="9"/>
  <c r="P28" i="9"/>
  <c r="O28" i="9"/>
  <c r="T28" i="9"/>
  <c r="M29" i="9"/>
  <c r="T18" i="3" a="1"/>
  <c r="T29" i="9" a="1"/>
  <c r="S18" i="3" a="1"/>
  <c r="R29" i="9" a="1"/>
  <c r="U18" i="3" a="1"/>
  <c r="N20" i="9" a="1"/>
  <c r="T20" i="9" a="1"/>
  <c r="S20" i="9" a="1"/>
  <c r="N29" i="9" a="1"/>
  <c r="O20" i="9" a="1"/>
  <c r="Q20" i="9" a="1"/>
  <c r="U20" i="9" a="1"/>
  <c r="O29" i="9" a="1"/>
  <c r="Q29" i="9" a="1"/>
  <c r="V18" i="3" a="1"/>
  <c r="U29" i="9" a="1"/>
  <c r="P29" i="9" a="1"/>
  <c r="R20" i="9" a="1"/>
  <c r="P20" i="9" a="1"/>
  <c r="S29" i="9" a="1"/>
  <c r="U18" i="3" l="1"/>
  <c r="Z18" i="3" s="1"/>
  <c r="S18" i="3"/>
  <c r="X18" i="3" s="1"/>
  <c r="T18" i="3"/>
  <c r="Y18" i="3" s="1"/>
  <c r="V18" i="3"/>
  <c r="AA18" i="3" s="1"/>
  <c r="A20" i="3"/>
  <c r="F19" i="3"/>
  <c r="D19" i="3"/>
  <c r="C19" i="3"/>
  <c r="B19" i="3"/>
  <c r="E19" i="3"/>
  <c r="H20" i="3"/>
  <c r="M19" i="3"/>
  <c r="AB19" i="3"/>
  <c r="L19" i="3"/>
  <c r="Q19" i="3" s="1"/>
  <c r="I19" i="3"/>
  <c r="N19" i="3" s="1"/>
  <c r="K19" i="3"/>
  <c r="P19" i="3" s="1"/>
  <c r="J19" i="3"/>
  <c r="O19" i="3" s="1"/>
  <c r="S20" i="9"/>
  <c r="T20" i="9"/>
  <c r="O20" i="9"/>
  <c r="R20" i="9"/>
  <c r="P20" i="9"/>
  <c r="Q20" i="9"/>
  <c r="N20" i="9"/>
  <c r="U20" i="9"/>
  <c r="L22" i="9"/>
  <c r="M21" i="9"/>
  <c r="U29" i="9"/>
  <c r="O29" i="9"/>
  <c r="T29" i="9"/>
  <c r="N29" i="9"/>
  <c r="S29" i="9"/>
  <c r="R29" i="9"/>
  <c r="Q29" i="9"/>
  <c r="P29" i="9"/>
  <c r="M30" i="9"/>
  <c r="V19" i="3" a="1"/>
  <c r="N21" i="9" a="1"/>
  <c r="U19" i="3" a="1"/>
  <c r="S21" i="9" a="1"/>
  <c r="T19" i="3" a="1"/>
  <c r="R30" i="9" a="1"/>
  <c r="S19" i="3" a="1"/>
  <c r="N30" i="9" a="1"/>
  <c r="T21" i="9" a="1"/>
  <c r="Q30" i="9" a="1"/>
  <c r="R21" i="9" a="1"/>
  <c r="O30" i="9" a="1"/>
  <c r="T30" i="9" a="1"/>
  <c r="U21" i="9" a="1"/>
  <c r="O21" i="9" a="1"/>
  <c r="Q21" i="9" a="1"/>
  <c r="S30" i="9" a="1"/>
  <c r="U30" i="9" a="1"/>
  <c r="P30" i="9" a="1"/>
  <c r="P21" i="9" a="1"/>
  <c r="S19" i="3" l="1"/>
  <c r="X19" i="3" s="1"/>
  <c r="T19" i="3"/>
  <c r="Y19" i="3" s="1"/>
  <c r="U19" i="3"/>
  <c r="Z19" i="3" s="1"/>
  <c r="V19" i="3"/>
  <c r="AA19" i="3" s="1"/>
  <c r="A21" i="3"/>
  <c r="F20" i="3"/>
  <c r="D20" i="3"/>
  <c r="B20" i="3"/>
  <c r="E20" i="3"/>
  <c r="C20" i="3"/>
  <c r="H21" i="3"/>
  <c r="M20" i="3"/>
  <c r="AB20" i="3" s="1"/>
  <c r="I20" i="3"/>
  <c r="N20" i="3" s="1"/>
  <c r="J20" i="3"/>
  <c r="O20" i="3" s="1"/>
  <c r="K20" i="3"/>
  <c r="P20" i="3" s="1"/>
  <c r="L20" i="3"/>
  <c r="Q20" i="3" s="1"/>
  <c r="U21" i="9"/>
  <c r="S21" i="9"/>
  <c r="N21" i="9"/>
  <c r="R21" i="9"/>
  <c r="Q21" i="9"/>
  <c r="O21" i="9"/>
  <c r="P21" i="9"/>
  <c r="T21" i="9"/>
  <c r="L23" i="9"/>
  <c r="M22" i="9"/>
  <c r="S30" i="9"/>
  <c r="T30" i="9"/>
  <c r="N30" i="9"/>
  <c r="Q30" i="9"/>
  <c r="U30" i="9"/>
  <c r="R30" i="9"/>
  <c r="P30" i="9"/>
  <c r="O30" i="9"/>
  <c r="M31" i="9"/>
  <c r="T20" i="3" a="1"/>
  <c r="S31" i="9" a="1"/>
  <c r="S22" i="9" a="1"/>
  <c r="T31" i="9" a="1"/>
  <c r="N31" i="9" a="1"/>
  <c r="Q22" i="9" a="1"/>
  <c r="U22" i="9" a="1"/>
  <c r="U20" i="3" a="1"/>
  <c r="P22" i="9" a="1"/>
  <c r="V20" i="3" a="1"/>
  <c r="T22" i="9" a="1"/>
  <c r="U31" i="9" a="1"/>
  <c r="N22" i="9" a="1"/>
  <c r="O22" i="9" a="1"/>
  <c r="R22" i="9" a="1"/>
  <c r="O31" i="9" a="1"/>
  <c r="Q31" i="9" a="1"/>
  <c r="P31" i="9" a="1"/>
  <c r="R31" i="9" a="1"/>
  <c r="S20" i="3" a="1"/>
  <c r="V20" i="3" l="1"/>
  <c r="AA20" i="3" s="1"/>
  <c r="U20" i="3"/>
  <c r="Z20" i="3" s="1"/>
  <c r="T20" i="3"/>
  <c r="Y20" i="3" s="1"/>
  <c r="S20" i="3"/>
  <c r="X20" i="3" s="1"/>
  <c r="A22" i="3"/>
  <c r="F21" i="3"/>
  <c r="C21" i="3"/>
  <c r="B21" i="3"/>
  <c r="E21" i="3"/>
  <c r="D21" i="3"/>
  <c r="H22" i="3"/>
  <c r="M21" i="3"/>
  <c r="AB21" i="3"/>
  <c r="L21" i="3"/>
  <c r="Q21" i="3" s="1"/>
  <c r="I21" i="3"/>
  <c r="N21" i="3" s="1"/>
  <c r="J21" i="3"/>
  <c r="O21" i="3" s="1"/>
  <c r="K21" i="3"/>
  <c r="P21" i="3" s="1"/>
  <c r="O22" i="9"/>
  <c r="N22" i="9"/>
  <c r="T22" i="9"/>
  <c r="Q22" i="9"/>
  <c r="S22" i="9"/>
  <c r="P22" i="9"/>
  <c r="R22" i="9"/>
  <c r="U22" i="9"/>
  <c r="L24" i="9"/>
  <c r="M23" i="9"/>
  <c r="Q31" i="9"/>
  <c r="S31" i="9"/>
  <c r="R31" i="9"/>
  <c r="N31" i="9"/>
  <c r="U31" i="9"/>
  <c r="T31" i="9"/>
  <c r="P31" i="9"/>
  <c r="O31" i="9"/>
  <c r="M32" i="9"/>
  <c r="V21" i="3" a="1"/>
  <c r="Q32" i="9" a="1"/>
  <c r="T32" i="9" a="1"/>
  <c r="T21" i="3" a="1"/>
  <c r="N23" i="9" a="1"/>
  <c r="U21" i="3" a="1"/>
  <c r="R23" i="9" a="1"/>
  <c r="R32" i="9" a="1"/>
  <c r="O32" i="9" a="1"/>
  <c r="O23" i="9" a="1"/>
  <c r="S23" i="9" a="1"/>
  <c r="N32" i="9" a="1"/>
  <c r="P32" i="9" a="1"/>
  <c r="Q23" i="9" a="1"/>
  <c r="T23" i="9" a="1"/>
  <c r="S21" i="3" a="1"/>
  <c r="U23" i="9" a="1"/>
  <c r="S32" i="9" a="1"/>
  <c r="U32" i="9" a="1"/>
  <c r="P23" i="9" a="1"/>
  <c r="U21" i="3" l="1"/>
  <c r="Z21" i="3" s="1"/>
  <c r="T21" i="3"/>
  <c r="Y21" i="3" s="1"/>
  <c r="S21" i="3"/>
  <c r="X21" i="3" s="1"/>
  <c r="V21" i="3"/>
  <c r="AA21" i="3" s="1"/>
  <c r="H23" i="3"/>
  <c r="M22" i="3"/>
  <c r="AB22" i="3" s="1"/>
  <c r="K22" i="3"/>
  <c r="P22" i="3" s="1"/>
  <c r="I22" i="3"/>
  <c r="N22" i="3" s="1"/>
  <c r="J22" i="3"/>
  <c r="O22" i="3" s="1"/>
  <c r="L22" i="3"/>
  <c r="Q22" i="3" s="1"/>
  <c r="A23" i="3"/>
  <c r="F22" i="3"/>
  <c r="B22" i="3"/>
  <c r="C22" i="3"/>
  <c r="E22" i="3"/>
  <c r="D22" i="3"/>
  <c r="O23" i="9"/>
  <c r="U23" i="9"/>
  <c r="N23" i="9"/>
  <c r="T23" i="9"/>
  <c r="P23" i="9"/>
  <c r="R23" i="9"/>
  <c r="Q23" i="9"/>
  <c r="S23" i="9"/>
  <c r="L25" i="9"/>
  <c r="M24" i="9"/>
  <c r="U32" i="9"/>
  <c r="O32" i="9"/>
  <c r="R32" i="9"/>
  <c r="P32" i="9"/>
  <c r="N32" i="9"/>
  <c r="T32" i="9"/>
  <c r="S32" i="9"/>
  <c r="Q32" i="9"/>
  <c r="M33" i="9"/>
  <c r="T22" i="3" a="1"/>
  <c r="P24" i="9" a="1"/>
  <c r="S22" i="3" a="1"/>
  <c r="P33" i="9" a="1"/>
  <c r="V22" i="3" a="1"/>
  <c r="O24" i="9" a="1"/>
  <c r="S24" i="9" a="1"/>
  <c r="Q24" i="9" a="1"/>
  <c r="N33" i="9" a="1"/>
  <c r="N24" i="9" a="1"/>
  <c r="R33" i="9" a="1"/>
  <c r="T33" i="9" a="1"/>
  <c r="U24" i="9" a="1"/>
  <c r="Q33" i="9" a="1"/>
  <c r="R24" i="9" a="1"/>
  <c r="U33" i="9" a="1"/>
  <c r="O33" i="9" a="1"/>
  <c r="S33" i="9" a="1"/>
  <c r="T24" i="9" a="1"/>
  <c r="U22" i="3" a="1"/>
  <c r="V22" i="3" l="1"/>
  <c r="AA22" i="3" s="1"/>
  <c r="S22" i="3"/>
  <c r="X22" i="3" s="1"/>
  <c r="T22" i="3"/>
  <c r="Y22" i="3" s="1"/>
  <c r="U22" i="3"/>
  <c r="Z22" i="3" s="1"/>
  <c r="H24" i="3"/>
  <c r="M23" i="3"/>
  <c r="AB23" i="3"/>
  <c r="L23" i="3"/>
  <c r="Q23" i="3" s="1"/>
  <c r="I23" i="3"/>
  <c r="N23" i="3" s="1"/>
  <c r="K23" i="3"/>
  <c r="P23" i="3" s="1"/>
  <c r="J23" i="3"/>
  <c r="O23" i="3" s="1"/>
  <c r="A24" i="3"/>
  <c r="F23" i="3"/>
  <c r="B23" i="3"/>
  <c r="D23" i="3"/>
  <c r="C23" i="3"/>
  <c r="E23" i="3"/>
  <c r="Q24" i="9"/>
  <c r="S24" i="9"/>
  <c r="U24" i="9"/>
  <c r="T24" i="9"/>
  <c r="O24" i="9"/>
  <c r="P24" i="9"/>
  <c r="N24" i="9"/>
  <c r="R24" i="9"/>
  <c r="L26" i="9"/>
  <c r="M26" i="9" s="1"/>
  <c r="M25" i="9"/>
  <c r="S33" i="9"/>
  <c r="Q33" i="9"/>
  <c r="R33" i="9"/>
  <c r="N33" i="9"/>
  <c r="U33" i="9"/>
  <c r="P33" i="9"/>
  <c r="O33" i="9"/>
  <c r="T33" i="9"/>
  <c r="M34" i="9"/>
  <c r="T23" i="3" a="1"/>
  <c r="U26" i="9" a="1"/>
  <c r="O34" i="9" a="1"/>
  <c r="P25" i="9" a="1"/>
  <c r="Q25" i="9" a="1"/>
  <c r="P34" i="9" a="1"/>
  <c r="T26" i="9" a="1"/>
  <c r="O25" i="9" a="1"/>
  <c r="S25" i="9" a="1"/>
  <c r="P26" i="9" a="1"/>
  <c r="S23" i="3" a="1"/>
  <c r="R34" i="9" a="1"/>
  <c r="S26" i="9" a="1"/>
  <c r="V23" i="3" a="1"/>
  <c r="R26" i="9" a="1"/>
  <c r="N34" i="9" a="1"/>
  <c r="U23" i="3" a="1"/>
  <c r="T34" i="9" a="1"/>
  <c r="T25" i="9" a="1"/>
  <c r="R25" i="9" a="1"/>
  <c r="Q26" i="9" a="1"/>
  <c r="N26" i="9" a="1"/>
  <c r="O26" i="9" a="1"/>
  <c r="U34" i="9" a="1"/>
  <c r="N25" i="9" a="1"/>
  <c r="U25" i="9" a="1"/>
  <c r="S34" i="9" a="1"/>
  <c r="Q34" i="9" a="1"/>
  <c r="U23" i="3" l="1"/>
  <c r="Z23" i="3" s="1"/>
  <c r="V23" i="3"/>
  <c r="AA23" i="3" s="1"/>
  <c r="S23" i="3"/>
  <c r="X23" i="3" s="1"/>
  <c r="T23" i="3"/>
  <c r="Y23" i="3" s="1"/>
  <c r="A25" i="3"/>
  <c r="F24" i="3"/>
  <c r="B24" i="3"/>
  <c r="E24" i="3"/>
  <c r="D24" i="3"/>
  <c r="C24" i="3"/>
  <c r="H25" i="3"/>
  <c r="AB24" i="3"/>
  <c r="M24" i="3"/>
  <c r="K24" i="3"/>
  <c r="P24" i="3" s="1"/>
  <c r="L24" i="3"/>
  <c r="Q24" i="3" s="1"/>
  <c r="J24" i="3"/>
  <c r="O24" i="3" s="1"/>
  <c r="I24" i="3"/>
  <c r="N24" i="3" s="1"/>
  <c r="U26" i="9"/>
  <c r="O26" i="9"/>
  <c r="S26" i="9"/>
  <c r="P26" i="9"/>
  <c r="R26" i="9"/>
  <c r="T26" i="9"/>
  <c r="Q26" i="9"/>
  <c r="N26" i="9"/>
  <c r="U25" i="9"/>
  <c r="N25" i="9"/>
  <c r="O25" i="9"/>
  <c r="Q25" i="9"/>
  <c r="T25" i="9"/>
  <c r="P25" i="9"/>
  <c r="R25" i="9"/>
  <c r="S25" i="9"/>
  <c r="Q34" i="9"/>
  <c r="P34" i="9"/>
  <c r="U34" i="9"/>
  <c r="S34" i="9"/>
  <c r="R34" i="9"/>
  <c r="O34" i="9"/>
  <c r="N34" i="9"/>
  <c r="T34" i="9"/>
  <c r="M35" i="9"/>
  <c r="U35" i="9" a="1"/>
  <c r="S35" i="9" a="1"/>
  <c r="O35" i="9" a="1"/>
  <c r="U24" i="3" a="1"/>
  <c r="T24" i="3" a="1"/>
  <c r="S24" i="3" a="1"/>
  <c r="P35" i="9" a="1"/>
  <c r="R35" i="9" a="1"/>
  <c r="T35" i="9" a="1"/>
  <c r="Q35" i="9" a="1"/>
  <c r="V24" i="3" a="1"/>
  <c r="N35" i="9" a="1"/>
  <c r="V24" i="3" l="1"/>
  <c r="AA24" i="3" s="1"/>
  <c r="S24" i="3"/>
  <c r="X24" i="3" s="1"/>
  <c r="T24" i="3"/>
  <c r="Y24" i="3" s="1"/>
  <c r="U24" i="3"/>
  <c r="Z24" i="3" s="1"/>
  <c r="H26" i="3"/>
  <c r="M25" i="3"/>
  <c r="AB25" i="3" s="1"/>
  <c r="I25" i="3"/>
  <c r="N25" i="3" s="1"/>
  <c r="K25" i="3"/>
  <c r="P25" i="3" s="1"/>
  <c r="J25" i="3"/>
  <c r="O25" i="3" s="1"/>
  <c r="L25" i="3"/>
  <c r="Q25" i="3" s="1"/>
  <c r="A26" i="3"/>
  <c r="F25" i="3"/>
  <c r="E25" i="3"/>
  <c r="B25" i="3"/>
  <c r="C25" i="3"/>
  <c r="D25" i="3"/>
  <c r="U35" i="9"/>
  <c r="O35" i="9"/>
  <c r="P35" i="9"/>
  <c r="T35" i="9"/>
  <c r="N35" i="9"/>
  <c r="S35" i="9"/>
  <c r="R35" i="9"/>
  <c r="Q35" i="9"/>
  <c r="M36" i="9"/>
  <c r="N36" i="9" a="1"/>
  <c r="T25" i="3" a="1"/>
  <c r="S25" i="3" a="1"/>
  <c r="U25" i="3" a="1"/>
  <c r="Q36" i="9" a="1"/>
  <c r="T36" i="9" a="1"/>
  <c r="U36" i="9" a="1"/>
  <c r="O36" i="9" a="1"/>
  <c r="S36" i="9" a="1"/>
  <c r="V25" i="3" a="1"/>
  <c r="P36" i="9" a="1"/>
  <c r="R36" i="9" a="1"/>
  <c r="U25" i="3" l="1"/>
  <c r="Z25" i="3" s="1"/>
  <c r="V25" i="3"/>
  <c r="AA25" i="3" s="1"/>
  <c r="S25" i="3"/>
  <c r="X25" i="3" s="1"/>
  <c r="T25" i="3"/>
  <c r="Y25" i="3" s="1"/>
  <c r="A27" i="3"/>
  <c r="F26" i="3"/>
  <c r="B26" i="3"/>
  <c r="E26" i="3"/>
  <c r="D26" i="3"/>
  <c r="C26" i="3"/>
  <c r="H27" i="3"/>
  <c r="M26" i="3"/>
  <c r="AB26" i="3" s="1"/>
  <c r="K26" i="3"/>
  <c r="P26" i="3" s="1"/>
  <c r="J26" i="3"/>
  <c r="O26" i="3" s="1"/>
  <c r="L26" i="3"/>
  <c r="Q26" i="3" s="1"/>
  <c r="I26" i="3"/>
  <c r="N26" i="3" s="1"/>
  <c r="S36" i="9"/>
  <c r="O36" i="9"/>
  <c r="U36" i="9"/>
  <c r="T36" i="9"/>
  <c r="R36" i="9"/>
  <c r="Q36" i="9"/>
  <c r="P36" i="9"/>
  <c r="N36" i="9"/>
  <c r="M37" i="9"/>
  <c r="U37" i="9" a="1"/>
  <c r="Q37" i="9" a="1"/>
  <c r="R37" i="9" a="1"/>
  <c r="S37" i="9" a="1"/>
  <c r="U26" i="3" a="1"/>
  <c r="V26" i="3" a="1"/>
  <c r="T26" i="3" a="1"/>
  <c r="S26" i="3" a="1"/>
  <c r="P37" i="9" a="1"/>
  <c r="N37" i="9" a="1"/>
  <c r="T37" i="9" a="1"/>
  <c r="O37" i="9" a="1"/>
  <c r="S26" i="3" l="1"/>
  <c r="X26" i="3" s="1"/>
  <c r="T26" i="3"/>
  <c r="Y26" i="3" s="1"/>
  <c r="V26" i="3"/>
  <c r="AA26" i="3" s="1"/>
  <c r="U26" i="3"/>
  <c r="Z26" i="3" s="1"/>
  <c r="H28" i="3"/>
  <c r="M27" i="3"/>
  <c r="AB27" i="3"/>
  <c r="K27" i="3"/>
  <c r="P27" i="3" s="1"/>
  <c r="I27" i="3"/>
  <c r="N27" i="3" s="1"/>
  <c r="L27" i="3"/>
  <c r="Q27" i="3" s="1"/>
  <c r="J27" i="3"/>
  <c r="O27" i="3" s="1"/>
  <c r="A28" i="3"/>
  <c r="F27" i="3"/>
  <c r="B27" i="3"/>
  <c r="E27" i="3"/>
  <c r="D27" i="3"/>
  <c r="C27" i="3"/>
  <c r="Q37" i="9"/>
  <c r="U37" i="9"/>
  <c r="N37" i="9"/>
  <c r="O37" i="9"/>
  <c r="S37" i="9"/>
  <c r="T37" i="9"/>
  <c r="R37" i="9"/>
  <c r="P37" i="9"/>
  <c r="M38" i="9"/>
  <c r="U38" i="9" a="1"/>
  <c r="S38" i="9" a="1"/>
  <c r="U27" i="3" a="1"/>
  <c r="V27" i="3" a="1"/>
  <c r="T27" i="3" a="1"/>
  <c r="S27" i="3" a="1"/>
  <c r="T38" i="9" a="1"/>
  <c r="O38" i="9" a="1"/>
  <c r="R38" i="9" a="1"/>
  <c r="Q38" i="9" a="1"/>
  <c r="N38" i="9" a="1"/>
  <c r="P38" i="9" a="1"/>
  <c r="S27" i="3" l="1"/>
  <c r="X27" i="3" s="1"/>
  <c r="T27" i="3"/>
  <c r="Y27" i="3" s="1"/>
  <c r="V27" i="3"/>
  <c r="AA27" i="3" s="1"/>
  <c r="U27" i="3"/>
  <c r="Z27" i="3" s="1"/>
  <c r="A29" i="3"/>
  <c r="F28" i="3"/>
  <c r="E28" i="3"/>
  <c r="D28" i="3"/>
  <c r="B28" i="3"/>
  <c r="C28" i="3"/>
  <c r="H29" i="3"/>
  <c r="M28" i="3"/>
  <c r="AB28" i="3" s="1"/>
  <c r="L28" i="3"/>
  <c r="Q28" i="3" s="1"/>
  <c r="K28" i="3"/>
  <c r="P28" i="3" s="1"/>
  <c r="J28" i="3"/>
  <c r="O28" i="3" s="1"/>
  <c r="I28" i="3"/>
  <c r="N28" i="3" s="1"/>
  <c r="U38" i="9"/>
  <c r="O38" i="9"/>
  <c r="T38" i="9"/>
  <c r="P38" i="9"/>
  <c r="N38" i="9"/>
  <c r="S38" i="9"/>
  <c r="R38" i="9"/>
  <c r="Q38" i="9"/>
  <c r="M39" i="9"/>
  <c r="R39" i="9" a="1"/>
  <c r="V28" i="3" a="1"/>
  <c r="T28" i="3" a="1"/>
  <c r="S28" i="3" a="1"/>
  <c r="Q39" i="9" a="1"/>
  <c r="U39" i="9" a="1"/>
  <c r="P39" i="9" a="1"/>
  <c r="T39" i="9" a="1"/>
  <c r="S39" i="9" a="1"/>
  <c r="N39" i="9" a="1"/>
  <c r="O39" i="9" a="1"/>
  <c r="U28" i="3" a="1"/>
  <c r="S28" i="3" l="1"/>
  <c r="X28" i="3" s="1"/>
  <c r="T28" i="3"/>
  <c r="Y28" i="3" s="1"/>
  <c r="U28" i="3"/>
  <c r="Z28" i="3" s="1"/>
  <c r="V28" i="3"/>
  <c r="AA28" i="3" s="1"/>
  <c r="H30" i="3"/>
  <c r="M29" i="3"/>
  <c r="AB29" i="3" s="1"/>
  <c r="I29" i="3"/>
  <c r="N29" i="3" s="1"/>
  <c r="L29" i="3"/>
  <c r="Q29" i="3" s="1"/>
  <c r="K29" i="3"/>
  <c r="P29" i="3" s="1"/>
  <c r="J29" i="3"/>
  <c r="O29" i="3" s="1"/>
  <c r="A30" i="3"/>
  <c r="F29" i="3"/>
  <c r="D29" i="3"/>
  <c r="B29" i="3"/>
  <c r="E29" i="3"/>
  <c r="C29" i="3"/>
  <c r="S39" i="9"/>
  <c r="T39" i="9"/>
  <c r="Q39" i="9"/>
  <c r="P39" i="9"/>
  <c r="O39" i="9"/>
  <c r="N39" i="9"/>
  <c r="U39" i="9"/>
  <c r="R39" i="9"/>
  <c r="M40" i="9"/>
  <c r="N40" i="9" a="1"/>
  <c r="V29" i="3" a="1"/>
  <c r="O40" i="9" a="1"/>
  <c r="S40" i="9" a="1"/>
  <c r="Q40" i="9" a="1"/>
  <c r="P40" i="9" a="1"/>
  <c r="U40" i="9" a="1"/>
  <c r="S29" i="3" a="1"/>
  <c r="U29" i="3" a="1"/>
  <c r="T29" i="3" a="1"/>
  <c r="R40" i="9" a="1"/>
  <c r="T40" i="9" a="1"/>
  <c r="T29" i="3" l="1"/>
  <c r="Y29" i="3" s="1"/>
  <c r="U29" i="3"/>
  <c r="Z29" i="3" s="1"/>
  <c r="V29" i="3"/>
  <c r="AA29" i="3" s="1"/>
  <c r="S29" i="3"/>
  <c r="X29" i="3" s="1"/>
  <c r="H31" i="3"/>
  <c r="M30" i="3"/>
  <c r="AB30" i="3"/>
  <c r="L30" i="3"/>
  <c r="Q30" i="3" s="1"/>
  <c r="J30" i="3"/>
  <c r="O30" i="3" s="1"/>
  <c r="K30" i="3"/>
  <c r="P30" i="3" s="1"/>
  <c r="I30" i="3"/>
  <c r="N30" i="3" s="1"/>
  <c r="A31" i="3"/>
  <c r="F30" i="3"/>
  <c r="E30" i="3"/>
  <c r="D30" i="3"/>
  <c r="B30" i="3"/>
  <c r="C30" i="3"/>
  <c r="Q40" i="9"/>
  <c r="T40" i="9"/>
  <c r="S40" i="9"/>
  <c r="R40" i="9"/>
  <c r="P40" i="9"/>
  <c r="O40" i="9"/>
  <c r="N40" i="9"/>
  <c r="U40" i="9"/>
  <c r="M41" i="9"/>
  <c r="Q41" i="9" a="1"/>
  <c r="U30" i="3" a="1"/>
  <c r="U41" i="9" a="1"/>
  <c r="R41" i="9" a="1"/>
  <c r="P41" i="9" a="1"/>
  <c r="V30" i="3" a="1"/>
  <c r="S30" i="3" a="1"/>
  <c r="T30" i="3" a="1"/>
  <c r="S41" i="9" a="1"/>
  <c r="N41" i="9" a="1"/>
  <c r="O41" i="9" a="1"/>
  <c r="T41" i="9" a="1"/>
  <c r="T30" i="3" l="1"/>
  <c r="Y30" i="3" s="1"/>
  <c r="S30" i="3"/>
  <c r="X30" i="3" s="1"/>
  <c r="U30" i="3"/>
  <c r="Z30" i="3" s="1"/>
  <c r="V30" i="3"/>
  <c r="AA30" i="3" s="1"/>
  <c r="H32" i="3"/>
  <c r="M31" i="3"/>
  <c r="AB31" i="3"/>
  <c r="I31" i="3"/>
  <c r="N31" i="3" s="1"/>
  <c r="J31" i="3"/>
  <c r="O31" i="3" s="1"/>
  <c r="K31" i="3"/>
  <c r="P31" i="3" s="1"/>
  <c r="L31" i="3"/>
  <c r="Q31" i="3" s="1"/>
  <c r="A32" i="3"/>
  <c r="F31" i="3"/>
  <c r="B31" i="3"/>
  <c r="E31" i="3"/>
  <c r="C31" i="3"/>
  <c r="D31" i="3"/>
  <c r="U41" i="9"/>
  <c r="O41" i="9"/>
  <c r="S41" i="9"/>
  <c r="N41" i="9"/>
  <c r="T41" i="9"/>
  <c r="R41" i="9"/>
  <c r="Q41" i="9"/>
  <c r="P41" i="9"/>
  <c r="M42" i="9"/>
  <c r="R42" i="9" a="1"/>
  <c r="S31" i="3" a="1"/>
  <c r="U31" i="3" a="1"/>
  <c r="Q42" i="9" a="1"/>
  <c r="S42" i="9" a="1"/>
  <c r="U42" i="9" a="1"/>
  <c r="T42" i="9" a="1"/>
  <c r="O42" i="9" a="1"/>
  <c r="T31" i="3" a="1"/>
  <c r="V31" i="3" a="1"/>
  <c r="P42" i="9" a="1"/>
  <c r="N42" i="9" a="1"/>
  <c r="V31" i="3" l="1"/>
  <c r="AA31" i="3" s="1"/>
  <c r="U31" i="3"/>
  <c r="Z31" i="3" s="1"/>
  <c r="T31" i="3"/>
  <c r="Y31" i="3" s="1"/>
  <c r="S31" i="3"/>
  <c r="X31" i="3" s="1"/>
  <c r="H33" i="3"/>
  <c r="M32" i="3"/>
  <c r="AB32" i="3" s="1"/>
  <c r="I32" i="3"/>
  <c r="N32" i="3" s="1"/>
  <c r="K32" i="3"/>
  <c r="P32" i="3" s="1"/>
  <c r="L32" i="3"/>
  <c r="Q32" i="3" s="1"/>
  <c r="J32" i="3"/>
  <c r="O32" i="3" s="1"/>
  <c r="A33" i="3"/>
  <c r="F32" i="3"/>
  <c r="B32" i="3"/>
  <c r="C32" i="3"/>
  <c r="E32" i="3"/>
  <c r="D32" i="3"/>
  <c r="S42" i="9"/>
  <c r="T42" i="9"/>
  <c r="R42" i="9"/>
  <c r="O42" i="9"/>
  <c r="U42" i="9"/>
  <c r="Q42" i="9"/>
  <c r="P42" i="9"/>
  <c r="N42" i="9"/>
  <c r="M43" i="9"/>
  <c r="U43" i="9" a="1"/>
  <c r="V32" i="3" a="1"/>
  <c r="P43" i="9" a="1"/>
  <c r="S43" i="9" a="1"/>
  <c r="T43" i="9" a="1"/>
  <c r="Q43" i="9" a="1"/>
  <c r="T32" i="3" a="1"/>
  <c r="S32" i="3" a="1"/>
  <c r="U32" i="3" a="1"/>
  <c r="R43" i="9" a="1"/>
  <c r="O43" i="9" a="1"/>
  <c r="N43" i="9" a="1"/>
  <c r="V32" i="3" l="1"/>
  <c r="AA32" i="3" s="1"/>
  <c r="U32" i="3"/>
  <c r="Z32" i="3" s="1"/>
  <c r="S32" i="3"/>
  <c r="X32" i="3" s="1"/>
  <c r="T32" i="3"/>
  <c r="Y32" i="3" s="1"/>
  <c r="A34" i="3"/>
  <c r="F33" i="3"/>
  <c r="C33" i="3"/>
  <c r="B33" i="3"/>
  <c r="E33" i="3"/>
  <c r="D33" i="3"/>
  <c r="H34" i="3"/>
  <c r="M33" i="3"/>
  <c r="AB33" i="3" s="1"/>
  <c r="J33" i="3"/>
  <c r="O33" i="3" s="1"/>
  <c r="K33" i="3"/>
  <c r="P33" i="3" s="1"/>
  <c r="L33" i="3"/>
  <c r="Q33" i="3" s="1"/>
  <c r="I33" i="3"/>
  <c r="N33" i="3" s="1"/>
  <c r="Q43" i="9"/>
  <c r="T43" i="9"/>
  <c r="S43" i="9"/>
  <c r="P43" i="9"/>
  <c r="O43" i="9"/>
  <c r="N43" i="9"/>
  <c r="U43" i="9"/>
  <c r="R43" i="9"/>
  <c r="M44" i="9"/>
  <c r="Q44" i="9" a="1"/>
  <c r="T33" i="3" a="1"/>
  <c r="S33" i="3" a="1"/>
  <c r="T44" i="9" a="1"/>
  <c r="U44" i="9" a="1"/>
  <c r="R44" i="9" a="1"/>
  <c r="S44" i="9" a="1"/>
  <c r="U33" i="3" a="1"/>
  <c r="V33" i="3" a="1"/>
  <c r="N44" i="9" a="1"/>
  <c r="P44" i="9" a="1"/>
  <c r="O44" i="9" a="1"/>
  <c r="S33" i="3" l="1"/>
  <c r="X33" i="3" s="1"/>
  <c r="V33" i="3"/>
  <c r="AA33" i="3" s="1"/>
  <c r="U33" i="3"/>
  <c r="Z33" i="3" s="1"/>
  <c r="T33" i="3"/>
  <c r="Y33" i="3" s="1"/>
  <c r="H35" i="3"/>
  <c r="M34" i="3"/>
  <c r="AB34" i="3"/>
  <c r="J34" i="3"/>
  <c r="O34" i="3" s="1"/>
  <c r="L34" i="3"/>
  <c r="Q34" i="3" s="1"/>
  <c r="K34" i="3"/>
  <c r="P34" i="3" s="1"/>
  <c r="I34" i="3"/>
  <c r="N34" i="3" s="1"/>
  <c r="A35" i="3"/>
  <c r="F34" i="3"/>
  <c r="B34" i="3"/>
  <c r="E34" i="3"/>
  <c r="C34" i="3"/>
  <c r="D34" i="3"/>
  <c r="U44" i="9"/>
  <c r="O44" i="9"/>
  <c r="S44" i="9"/>
  <c r="T44" i="9"/>
  <c r="R44" i="9"/>
  <c r="Q44" i="9"/>
  <c r="P44" i="9"/>
  <c r="N44" i="9"/>
  <c r="S34" i="3" a="1"/>
  <c r="T34" i="3" a="1"/>
  <c r="U34" i="3" a="1"/>
  <c r="V34" i="3" a="1"/>
  <c r="V34" i="3" l="1"/>
  <c r="AA34" i="3" s="1"/>
  <c r="U34" i="3"/>
  <c r="Z34" i="3" s="1"/>
  <c r="T34" i="3"/>
  <c r="Y34" i="3" s="1"/>
  <c r="S34" i="3"/>
  <c r="X34" i="3" s="1"/>
  <c r="H36" i="3"/>
  <c r="M35" i="3"/>
  <c r="AB35" i="3" s="1"/>
  <c r="L35" i="3"/>
  <c r="Q35" i="3" s="1"/>
  <c r="I35" i="3"/>
  <c r="N35" i="3" s="1"/>
  <c r="K35" i="3"/>
  <c r="P35" i="3" s="1"/>
  <c r="J35" i="3"/>
  <c r="O35" i="3" s="1"/>
  <c r="A36" i="3"/>
  <c r="F35" i="3"/>
  <c r="D35" i="3"/>
  <c r="B35" i="3"/>
  <c r="C35" i="3"/>
  <c r="E35" i="3"/>
  <c r="V11" i="9" a="1"/>
  <c r="U35" i="3" a="1"/>
  <c r="V35" i="3" a="1"/>
  <c r="T35" i="3" a="1"/>
  <c r="S35" i="3" a="1"/>
  <c r="S35" i="3" l="1"/>
  <c r="X35" i="3" s="1"/>
  <c r="U35" i="3"/>
  <c r="Z35" i="3" s="1"/>
  <c r="T35" i="3"/>
  <c r="Y35" i="3" s="1"/>
  <c r="V35" i="3"/>
  <c r="AA35" i="3" s="1"/>
  <c r="H37" i="3"/>
  <c r="M36" i="3"/>
  <c r="AB36" i="3" s="1"/>
  <c r="J36" i="3"/>
  <c r="O36" i="3" s="1"/>
  <c r="L36" i="3"/>
  <c r="Q36" i="3" s="1"/>
  <c r="K36" i="3"/>
  <c r="P36" i="3" s="1"/>
  <c r="I36" i="3"/>
  <c r="N36" i="3" s="1"/>
  <c r="A37" i="3"/>
  <c r="F36" i="3"/>
  <c r="E36" i="3"/>
  <c r="C36" i="3"/>
  <c r="D36" i="3"/>
  <c r="B36" i="3"/>
  <c r="W16" i="9"/>
  <c r="V12" i="9"/>
  <c r="Y14" i="9"/>
  <c r="AC12" i="9"/>
  <c r="Z12" i="9"/>
  <c r="X18" i="9"/>
  <c r="Y11" i="9"/>
  <c r="Y15" i="9"/>
  <c r="Z11" i="9"/>
  <c r="V17" i="9"/>
  <c r="V19" i="9"/>
  <c r="X12" i="9"/>
  <c r="W15" i="9"/>
  <c r="AA16" i="9"/>
  <c r="Y17" i="9"/>
  <c r="AA11" i="9"/>
  <c r="Z15" i="9"/>
  <c r="W11" i="9"/>
  <c r="X20" i="9"/>
  <c r="V20" i="9"/>
  <c r="AC14" i="9"/>
  <c r="X11" i="9"/>
  <c r="V11" i="9"/>
  <c r="X14" i="9"/>
  <c r="W18" i="9"/>
  <c r="AC18" i="9"/>
  <c r="X15" i="9"/>
  <c r="AA19" i="9"/>
  <c r="Z18" i="9"/>
  <c r="AC15" i="9"/>
  <c r="V16" i="9"/>
  <c r="W17" i="9"/>
  <c r="AA15" i="9"/>
  <c r="Y20" i="9"/>
  <c r="AC13" i="9"/>
  <c r="AC11" i="9"/>
  <c r="V14" i="9"/>
  <c r="Y12" i="9"/>
  <c r="AB11" i="9"/>
  <c r="W14" i="9"/>
  <c r="Z17" i="9"/>
  <c r="AA13" i="9"/>
  <c r="Z14" i="9"/>
  <c r="V15" i="9"/>
  <c r="AC19" i="9"/>
  <c r="W12" i="9"/>
  <c r="V21" i="9"/>
  <c r="Y21" i="9"/>
  <c r="Z21" i="9"/>
  <c r="W21" i="9"/>
  <c r="AA21" i="9"/>
  <c r="AC21" i="9"/>
  <c r="AB12" i="9"/>
  <c r="AA12" i="9"/>
  <c r="V13" i="9"/>
  <c r="AA22" i="9"/>
  <c r="X13" i="9"/>
  <c r="AB13" i="9"/>
  <c r="Y13" i="9"/>
  <c r="W13" i="9"/>
  <c r="W22" i="9"/>
  <c r="X22" i="9"/>
  <c r="Z22" i="9"/>
  <c r="Z13" i="9"/>
  <c r="AA14" i="9"/>
  <c r="V23" i="9"/>
  <c r="X23" i="9"/>
  <c r="Y23" i="9"/>
  <c r="AC23" i="9"/>
  <c r="W23" i="9"/>
  <c r="AB14" i="9"/>
  <c r="Z23" i="9"/>
  <c r="W24" i="9"/>
  <c r="X24" i="9"/>
  <c r="Y24" i="9"/>
  <c r="AA24" i="9"/>
  <c r="AB15" i="9"/>
  <c r="AC24" i="9"/>
  <c r="Z16" i="9"/>
  <c r="AB16" i="9"/>
  <c r="X16" i="9"/>
  <c r="W25" i="9"/>
  <c r="Z25" i="9"/>
  <c r="AA25" i="9"/>
  <c r="V25" i="9"/>
  <c r="AC25" i="9"/>
  <c r="X25" i="9"/>
  <c r="Y25" i="9"/>
  <c r="Y16" i="9"/>
  <c r="AC16" i="9"/>
  <c r="AB17" i="9"/>
  <c r="X17" i="9"/>
  <c r="V26" i="9"/>
  <c r="Y26" i="9"/>
  <c r="X26" i="9"/>
  <c r="W26" i="9"/>
  <c r="AC26" i="9"/>
  <c r="AA17" i="9"/>
  <c r="AC17" i="9"/>
  <c r="AB18" i="9"/>
  <c r="Z27" i="9"/>
  <c r="V18" i="9"/>
  <c r="AB27" i="9"/>
  <c r="Y18" i="9"/>
  <c r="W27" i="9"/>
  <c r="AC27" i="9"/>
  <c r="V27" i="9"/>
  <c r="Y27" i="9"/>
  <c r="X27" i="9"/>
  <c r="AA18" i="9"/>
  <c r="AA27" i="9"/>
  <c r="AB19" i="9"/>
  <c r="AC28" i="9"/>
  <c r="X19" i="9"/>
  <c r="Z19" i="9"/>
  <c r="Y19" i="9"/>
  <c r="W28" i="9"/>
  <c r="Z28" i="9"/>
  <c r="X28" i="9"/>
  <c r="AA28" i="9"/>
  <c r="V28" i="9"/>
  <c r="W19" i="9"/>
  <c r="Y28" i="9"/>
  <c r="AB28" i="9"/>
  <c r="AA20" i="9"/>
  <c r="Y29" i="9"/>
  <c r="AA29" i="9"/>
  <c r="Z29" i="9"/>
  <c r="AB20" i="9"/>
  <c r="W20" i="9"/>
  <c r="AB29" i="9"/>
  <c r="AC20" i="9"/>
  <c r="V29" i="9"/>
  <c r="X29" i="9"/>
  <c r="W29" i="9"/>
  <c r="Z20" i="9"/>
  <c r="AC29" i="9"/>
  <c r="AB21" i="9"/>
  <c r="Z30" i="9"/>
  <c r="AC30" i="9"/>
  <c r="AA30" i="9"/>
  <c r="Y30" i="9"/>
  <c r="W30" i="9"/>
  <c r="V30" i="9"/>
  <c r="X21" i="9"/>
  <c r="X30" i="9"/>
  <c r="AB30" i="9"/>
  <c r="X31" i="9"/>
  <c r="V22" i="9"/>
  <c r="Y31" i="9"/>
  <c r="W31" i="9"/>
  <c r="Y22" i="9"/>
  <c r="AB22" i="9"/>
  <c r="AB31" i="9"/>
  <c r="AC31" i="9"/>
  <c r="Z31" i="9"/>
  <c r="V31" i="9"/>
  <c r="AA31" i="9"/>
  <c r="AC22" i="9"/>
  <c r="AA32" i="9"/>
  <c r="Z32" i="9"/>
  <c r="W32" i="9"/>
  <c r="X32" i="9"/>
  <c r="AA23" i="9"/>
  <c r="AB32" i="9"/>
  <c r="Y32" i="9"/>
  <c r="V32" i="9"/>
  <c r="AC32" i="9"/>
  <c r="AB23" i="9"/>
  <c r="W33" i="9"/>
  <c r="V33" i="9"/>
  <c r="Z24" i="9"/>
  <c r="AA33" i="9"/>
  <c r="X33" i="9"/>
  <c r="Z33" i="9"/>
  <c r="Y33" i="9"/>
  <c r="V24" i="9"/>
  <c r="AB33" i="9"/>
  <c r="AB24" i="9"/>
  <c r="AC33" i="9"/>
  <c r="AB34" i="9"/>
  <c r="AB26" i="9"/>
  <c r="X34" i="9"/>
  <c r="AA26" i="9"/>
  <c r="Y34" i="9"/>
  <c r="Z26" i="9"/>
  <c r="AB25" i="9"/>
  <c r="W34" i="9"/>
  <c r="V34" i="9"/>
  <c r="Z34" i="9"/>
  <c r="AA34" i="9"/>
  <c r="AC34" i="9"/>
  <c r="AA35" i="9"/>
  <c r="V35" i="9"/>
  <c r="X35" i="9"/>
  <c r="W35" i="9"/>
  <c r="AB35" i="9"/>
  <c r="AC35" i="9"/>
  <c r="Y35" i="9"/>
  <c r="Z35" i="9"/>
  <c r="AB36" i="9"/>
  <c r="Y36" i="9"/>
  <c r="AC36" i="9"/>
  <c r="W36" i="9"/>
  <c r="AA36" i="9"/>
  <c r="X36" i="9"/>
  <c r="Z36" i="9"/>
  <c r="V36" i="9"/>
  <c r="Z37" i="9"/>
  <c r="AB37" i="9"/>
  <c r="X37" i="9"/>
  <c r="W37" i="9"/>
  <c r="AC37" i="9"/>
  <c r="AA37" i="9"/>
  <c r="V37" i="9"/>
  <c r="Y37" i="9"/>
  <c r="AB38" i="9"/>
  <c r="Y38" i="9"/>
  <c r="Z38" i="9"/>
  <c r="AA38" i="9"/>
  <c r="V38" i="9"/>
  <c r="X38" i="9"/>
  <c r="W38" i="9"/>
  <c r="AC38" i="9"/>
  <c r="AB39" i="9"/>
  <c r="W39" i="9"/>
  <c r="X39" i="9"/>
  <c r="V39" i="9"/>
  <c r="Y39" i="9"/>
  <c r="AA39" i="9"/>
  <c r="AC39" i="9"/>
  <c r="Z39" i="9"/>
  <c r="AB40" i="9"/>
  <c r="Y40" i="9"/>
  <c r="AA40" i="9"/>
  <c r="AC40" i="9"/>
  <c r="V40" i="9"/>
  <c r="W40" i="9"/>
  <c r="Z40" i="9"/>
  <c r="X40" i="9"/>
  <c r="Y41" i="9"/>
  <c r="Z41" i="9"/>
  <c r="AB41" i="9"/>
  <c r="V41" i="9"/>
  <c r="X41" i="9"/>
  <c r="AA41" i="9"/>
  <c r="W41" i="9"/>
  <c r="AC41" i="9"/>
  <c r="AB42" i="9"/>
  <c r="X42" i="9"/>
  <c r="AC42" i="9"/>
  <c r="V42" i="9"/>
  <c r="Y42" i="9"/>
  <c r="W42" i="9"/>
  <c r="Z42" i="9"/>
  <c r="AA42" i="9"/>
  <c r="AB43" i="9"/>
  <c r="Z43" i="9"/>
  <c r="AC43" i="9"/>
  <c r="V43" i="9"/>
  <c r="W43" i="9"/>
  <c r="Y43" i="9"/>
  <c r="X43" i="9"/>
  <c r="AA43" i="9"/>
  <c r="AA44" i="9"/>
  <c r="AB44" i="9"/>
  <c r="Z44" i="9"/>
  <c r="AC44" i="9"/>
  <c r="W44" i="9"/>
  <c r="X44" i="9"/>
  <c r="V44" i="9"/>
  <c r="Y44" i="9"/>
  <c r="T36" i="3" a="1"/>
  <c r="S36" i="3" a="1"/>
  <c r="V36" i="3" a="1"/>
  <c r="U36" i="3" a="1"/>
  <c r="U36" i="3" l="1"/>
  <c r="Z36" i="3" s="1"/>
  <c r="V36" i="3"/>
  <c r="AA36" i="3" s="1"/>
  <c r="S36" i="3"/>
  <c r="X36" i="3" s="1"/>
  <c r="T36" i="3"/>
  <c r="Y36" i="3" s="1"/>
  <c r="H38" i="3"/>
  <c r="M37" i="3"/>
  <c r="AB37" i="3" s="1"/>
  <c r="J37" i="3"/>
  <c r="O37" i="3" s="1"/>
  <c r="L37" i="3"/>
  <c r="Q37" i="3" s="1"/>
  <c r="K37" i="3"/>
  <c r="P37" i="3" s="1"/>
  <c r="I37" i="3"/>
  <c r="N37" i="3" s="1"/>
  <c r="A38" i="3"/>
  <c r="F37" i="3"/>
  <c r="B37" i="3"/>
  <c r="D37" i="3"/>
  <c r="E37" i="3"/>
  <c r="C37" i="3"/>
  <c r="S37" i="3" a="1"/>
  <c r="V37" i="3" a="1"/>
  <c r="U37" i="3" a="1"/>
  <c r="T37" i="3" a="1"/>
  <c r="U37" i="3" l="1"/>
  <c r="Z37" i="3" s="1"/>
  <c r="V37" i="3"/>
  <c r="AA37" i="3" s="1"/>
  <c r="S37" i="3"/>
  <c r="X37" i="3" s="1"/>
  <c r="T37" i="3"/>
  <c r="Y37" i="3" s="1"/>
  <c r="A39" i="3"/>
  <c r="F38" i="3"/>
  <c r="E38" i="3"/>
  <c r="B38" i="3"/>
  <c r="D38" i="3"/>
  <c r="C38" i="3"/>
  <c r="H39" i="3"/>
  <c r="M38" i="3"/>
  <c r="AB38" i="3" s="1"/>
  <c r="J38" i="3"/>
  <c r="O38" i="3" s="1"/>
  <c r="K38" i="3"/>
  <c r="P38" i="3" s="1"/>
  <c r="L38" i="3"/>
  <c r="Q38" i="3" s="1"/>
  <c r="I38" i="3"/>
  <c r="N38" i="3" s="1"/>
  <c r="T38" i="3" a="1"/>
  <c r="S38" i="3" a="1"/>
  <c r="U38" i="3" a="1"/>
  <c r="V38" i="3" a="1"/>
  <c r="S38" i="3" l="1"/>
  <c r="X38" i="3" s="1"/>
  <c r="V38" i="3"/>
  <c r="AA38" i="3" s="1"/>
  <c r="U38" i="3"/>
  <c r="Z38" i="3" s="1"/>
  <c r="T38" i="3"/>
  <c r="Y38" i="3" s="1"/>
  <c r="A40" i="3"/>
  <c r="F39" i="3"/>
  <c r="B39" i="3"/>
  <c r="D39" i="3"/>
  <c r="C39" i="3"/>
  <c r="E39" i="3"/>
  <c r="H40" i="3"/>
  <c r="AB39" i="3"/>
  <c r="M39" i="3"/>
  <c r="K39" i="3"/>
  <c r="P39" i="3" s="1"/>
  <c r="L39" i="3"/>
  <c r="Q39" i="3" s="1"/>
  <c r="J39" i="3"/>
  <c r="O39" i="3" s="1"/>
  <c r="I39" i="3"/>
  <c r="N39" i="3" s="1"/>
  <c r="U39" i="3" a="1"/>
  <c r="T39" i="3" a="1"/>
  <c r="S39" i="3" a="1"/>
  <c r="V39" i="3" a="1"/>
  <c r="V39" i="3" l="1"/>
  <c r="AA39" i="3" s="1"/>
  <c r="S39" i="3"/>
  <c r="X39" i="3" s="1"/>
  <c r="T39" i="3"/>
  <c r="Y39" i="3" s="1"/>
  <c r="U39" i="3"/>
  <c r="Z39" i="3" s="1"/>
  <c r="H41" i="3"/>
  <c r="M40" i="3"/>
  <c r="AB40" i="3" s="1"/>
  <c r="J40" i="3"/>
  <c r="O40" i="3" s="1"/>
  <c r="L40" i="3"/>
  <c r="Q40" i="3" s="1"/>
  <c r="I40" i="3"/>
  <c r="N40" i="3" s="1"/>
  <c r="K40" i="3"/>
  <c r="P40" i="3" s="1"/>
  <c r="A41" i="3"/>
  <c r="F40" i="3"/>
  <c r="D40" i="3"/>
  <c r="C40" i="3"/>
  <c r="E40" i="3"/>
  <c r="B40" i="3"/>
  <c r="T40" i="3" a="1"/>
  <c r="V40" i="3" a="1"/>
  <c r="S40" i="3" a="1"/>
  <c r="U40" i="3" a="1"/>
  <c r="U40" i="3" l="1"/>
  <c r="Z40" i="3" s="1"/>
  <c r="S40" i="3"/>
  <c r="X40" i="3" s="1"/>
  <c r="V40" i="3"/>
  <c r="AA40" i="3" s="1"/>
  <c r="T40" i="3"/>
  <c r="Y40" i="3" s="1"/>
  <c r="A42" i="3"/>
  <c r="F41" i="3"/>
  <c r="B41" i="3"/>
  <c r="C41" i="3"/>
  <c r="D41" i="3"/>
  <c r="E41" i="3"/>
  <c r="H42" i="3"/>
  <c r="M41" i="3"/>
  <c r="AB41" i="3" s="1"/>
  <c r="I41" i="3"/>
  <c r="N41" i="3" s="1"/>
  <c r="L41" i="3"/>
  <c r="Q41" i="3" s="1"/>
  <c r="J41" i="3"/>
  <c r="O41" i="3" s="1"/>
  <c r="K41" i="3"/>
  <c r="P41" i="3" s="1"/>
  <c r="S41" i="3" a="1"/>
  <c r="T41" i="3" a="1"/>
  <c r="U41" i="3" a="1"/>
  <c r="V41" i="3" a="1"/>
  <c r="V41" i="3" l="1"/>
  <c r="AA41" i="3" s="1"/>
  <c r="U41" i="3"/>
  <c r="Z41" i="3" s="1"/>
  <c r="T41" i="3"/>
  <c r="Y41" i="3" s="1"/>
  <c r="S41" i="3"/>
  <c r="X41" i="3" s="1"/>
  <c r="H43" i="3"/>
  <c r="M42" i="3"/>
  <c r="AB42" i="3"/>
  <c r="I42" i="3"/>
  <c r="N42" i="3" s="1"/>
  <c r="J42" i="3"/>
  <c r="O42" i="3" s="1"/>
  <c r="K42" i="3"/>
  <c r="P42" i="3" s="1"/>
  <c r="L42" i="3"/>
  <c r="Q42" i="3" s="1"/>
  <c r="A43" i="3"/>
  <c r="F42" i="3"/>
  <c r="D42" i="3"/>
  <c r="B42" i="3"/>
  <c r="E42" i="3"/>
  <c r="C42" i="3"/>
  <c r="T42" i="3" a="1"/>
  <c r="U42" i="3" a="1"/>
  <c r="V42" i="3" a="1"/>
  <c r="S42" i="3" a="1"/>
  <c r="U42" i="3" l="1"/>
  <c r="Z42" i="3" s="1"/>
  <c r="S42" i="3"/>
  <c r="X42" i="3" s="1"/>
  <c r="V42" i="3"/>
  <c r="AA42" i="3" s="1"/>
  <c r="T42" i="3"/>
  <c r="Y42" i="3" s="1"/>
  <c r="H44" i="3"/>
  <c r="M43" i="3"/>
  <c r="AB43" i="3"/>
  <c r="J43" i="3"/>
  <c r="O43" i="3" s="1"/>
  <c r="I43" i="3"/>
  <c r="N43" i="3" s="1"/>
  <c r="L43" i="3"/>
  <c r="Q43" i="3" s="1"/>
  <c r="K43" i="3"/>
  <c r="P43" i="3" s="1"/>
  <c r="A44" i="3"/>
  <c r="F43" i="3"/>
  <c r="E43" i="3"/>
  <c r="B43" i="3"/>
  <c r="D43" i="3"/>
  <c r="C43" i="3"/>
  <c r="T43" i="3" a="1"/>
  <c r="V43" i="3" a="1"/>
  <c r="S43" i="3" a="1"/>
  <c r="U43" i="3" a="1"/>
  <c r="U43" i="3" l="1"/>
  <c r="Z43" i="3" s="1"/>
  <c r="S43" i="3"/>
  <c r="X43" i="3" s="1"/>
  <c r="V43" i="3"/>
  <c r="AA43" i="3" s="1"/>
  <c r="T43" i="3"/>
  <c r="Y43" i="3" s="1"/>
  <c r="A45" i="3"/>
  <c r="F44" i="3"/>
  <c r="B44" i="3"/>
  <c r="E44" i="3"/>
  <c r="C44" i="3"/>
  <c r="D44" i="3"/>
  <c r="H45" i="3"/>
  <c r="M44" i="3"/>
  <c r="AB44" i="3" s="1"/>
  <c r="K44" i="3"/>
  <c r="P44" i="3" s="1"/>
  <c r="I44" i="3"/>
  <c r="N44" i="3" s="1"/>
  <c r="J44" i="3"/>
  <c r="O44" i="3" s="1"/>
  <c r="L44" i="3"/>
  <c r="Q44" i="3" s="1"/>
  <c r="S44" i="3" a="1"/>
  <c r="T44" i="3" a="1"/>
  <c r="U44" i="3" a="1"/>
  <c r="V44" i="3" a="1"/>
  <c r="T44" i="3" l="1"/>
  <c r="Y44" i="3" s="1"/>
  <c r="V44" i="3"/>
  <c r="AA44" i="3" s="1"/>
  <c r="S44" i="3"/>
  <c r="X44" i="3" s="1"/>
  <c r="U44" i="3"/>
  <c r="Z44" i="3" s="1"/>
  <c r="H46" i="3"/>
  <c r="M45" i="3"/>
  <c r="AB45" i="3"/>
  <c r="J45" i="3"/>
  <c r="O45" i="3" s="1"/>
  <c r="L45" i="3"/>
  <c r="Q45" i="3" s="1"/>
  <c r="I45" i="3"/>
  <c r="N45" i="3" s="1"/>
  <c r="K45" i="3"/>
  <c r="P45" i="3" s="1"/>
  <c r="A46" i="3"/>
  <c r="F45" i="3"/>
  <c r="B45" i="3"/>
  <c r="E45" i="3"/>
  <c r="C45" i="3"/>
  <c r="D45" i="3"/>
  <c r="S45" i="3" a="1"/>
  <c r="U45" i="3" a="1"/>
  <c r="T45" i="3" a="1"/>
  <c r="V45" i="3" a="1"/>
  <c r="V45" i="3" l="1"/>
  <c r="AA45" i="3" s="1"/>
  <c r="T45" i="3"/>
  <c r="Y45" i="3" s="1"/>
  <c r="U45" i="3"/>
  <c r="Z45" i="3" s="1"/>
  <c r="S45" i="3"/>
  <c r="X45" i="3" s="1"/>
  <c r="H47" i="3"/>
  <c r="M46" i="3"/>
  <c r="AB46" i="3"/>
  <c r="K46" i="3"/>
  <c r="P46" i="3" s="1"/>
  <c r="L46" i="3"/>
  <c r="Q46" i="3" s="1"/>
  <c r="I46" i="3"/>
  <c r="N46" i="3" s="1"/>
  <c r="J46" i="3"/>
  <c r="O46" i="3" s="1"/>
  <c r="A47" i="3"/>
  <c r="F46" i="3"/>
  <c r="E46" i="3"/>
  <c r="C46" i="3"/>
  <c r="B46" i="3"/>
  <c r="D46" i="3"/>
  <c r="T46" i="3" a="1"/>
  <c r="U46" i="3" a="1"/>
  <c r="S46" i="3" a="1"/>
  <c r="V46" i="3" a="1"/>
  <c r="V46" i="3" l="1"/>
  <c r="AA46" i="3" s="1"/>
  <c r="S46" i="3"/>
  <c r="X46" i="3" s="1"/>
  <c r="U46" i="3"/>
  <c r="Z46" i="3" s="1"/>
  <c r="T46" i="3"/>
  <c r="Y46" i="3" s="1"/>
  <c r="H48" i="3"/>
  <c r="M47" i="3"/>
  <c r="AB47" i="3" s="1"/>
  <c r="K47" i="3"/>
  <c r="P47" i="3" s="1"/>
  <c r="L47" i="3"/>
  <c r="Q47" i="3" s="1"/>
  <c r="I47" i="3"/>
  <c r="N47" i="3" s="1"/>
  <c r="J47" i="3"/>
  <c r="O47" i="3" s="1"/>
  <c r="A48" i="3"/>
  <c r="F47" i="3"/>
  <c r="B47" i="3"/>
  <c r="E47" i="3"/>
  <c r="D47" i="3"/>
  <c r="C47" i="3"/>
  <c r="U47" i="3" a="1"/>
  <c r="S47" i="3" a="1"/>
  <c r="V47" i="3" a="1"/>
  <c r="T47" i="3" a="1"/>
  <c r="T47" i="3" l="1"/>
  <c r="Y47" i="3" s="1"/>
  <c r="V47" i="3"/>
  <c r="AA47" i="3" s="1"/>
  <c r="S47" i="3"/>
  <c r="X47" i="3" s="1"/>
  <c r="U47" i="3"/>
  <c r="Z47" i="3" s="1"/>
  <c r="A49" i="3"/>
  <c r="F48" i="3"/>
  <c r="E48" i="3"/>
  <c r="C48" i="3"/>
  <c r="D48" i="3"/>
  <c r="B48" i="3"/>
  <c r="H49" i="3"/>
  <c r="M48" i="3"/>
  <c r="AB48" i="3" s="1"/>
  <c r="J48" i="3"/>
  <c r="O48" i="3" s="1"/>
  <c r="I48" i="3"/>
  <c r="N48" i="3" s="1"/>
  <c r="K48" i="3"/>
  <c r="P48" i="3" s="1"/>
  <c r="L48" i="3"/>
  <c r="Q48" i="3" s="1"/>
  <c r="T48" i="3" a="1"/>
  <c r="S48" i="3" a="1"/>
  <c r="V48" i="3" a="1"/>
  <c r="U48" i="3" a="1"/>
  <c r="U48" i="3" l="1"/>
  <c r="Z48" i="3" s="1"/>
  <c r="V48" i="3"/>
  <c r="AA48" i="3" s="1"/>
  <c r="S48" i="3"/>
  <c r="X48" i="3" s="1"/>
  <c r="T48" i="3"/>
  <c r="Y48" i="3" s="1"/>
  <c r="A50" i="3"/>
  <c r="F49" i="3"/>
  <c r="E49" i="3"/>
  <c r="C49" i="3"/>
  <c r="D49" i="3"/>
  <c r="B49" i="3"/>
  <c r="H50" i="3"/>
  <c r="M49" i="3"/>
  <c r="AB49" i="3" s="1"/>
  <c r="L49" i="3"/>
  <c r="Q49" i="3" s="1"/>
  <c r="J49" i="3"/>
  <c r="O49" i="3" s="1"/>
  <c r="I49" i="3"/>
  <c r="N49" i="3" s="1"/>
  <c r="K49" i="3"/>
  <c r="P49" i="3" s="1"/>
  <c r="V49" i="3" a="1"/>
  <c r="T49" i="3" a="1"/>
  <c r="S49" i="3" a="1"/>
  <c r="U49" i="3" a="1"/>
  <c r="U49" i="3" l="1"/>
  <c r="Z49" i="3" s="1"/>
  <c r="S49" i="3"/>
  <c r="X49" i="3" s="1"/>
  <c r="T49" i="3"/>
  <c r="Y49" i="3" s="1"/>
  <c r="V49" i="3"/>
  <c r="AA49" i="3" s="1"/>
  <c r="A51" i="3"/>
  <c r="F50" i="3"/>
  <c r="B50" i="3"/>
  <c r="C50" i="3"/>
  <c r="E50" i="3"/>
  <c r="D50" i="3"/>
  <c r="H51" i="3"/>
  <c r="M50" i="3"/>
  <c r="AB50" i="3" s="1"/>
  <c r="J50" i="3"/>
  <c r="O50" i="3" s="1"/>
  <c r="I50" i="3"/>
  <c r="N50" i="3" s="1"/>
  <c r="L50" i="3"/>
  <c r="Q50" i="3" s="1"/>
  <c r="K50" i="3"/>
  <c r="P50" i="3" s="1"/>
  <c r="T50" i="3" a="1"/>
  <c r="V50" i="3" a="1"/>
  <c r="S50" i="3" a="1"/>
  <c r="U50" i="3" a="1"/>
  <c r="U50" i="3" l="1"/>
  <c r="Z50" i="3" s="1"/>
  <c r="S50" i="3"/>
  <c r="X50" i="3" s="1"/>
  <c r="V50" i="3"/>
  <c r="AA50" i="3" s="1"/>
  <c r="T50" i="3"/>
  <c r="Y50" i="3" s="1"/>
  <c r="A52" i="3"/>
  <c r="F51" i="3"/>
  <c r="E51" i="3"/>
  <c r="D51" i="3"/>
  <c r="B51" i="3"/>
  <c r="C51" i="3"/>
  <c r="H52" i="3"/>
  <c r="M51" i="3"/>
  <c r="AB51" i="3" s="1"/>
  <c r="J51" i="3"/>
  <c r="O51" i="3" s="1"/>
  <c r="K51" i="3"/>
  <c r="P51" i="3" s="1"/>
  <c r="I51" i="3"/>
  <c r="N51" i="3" s="1"/>
  <c r="L51" i="3"/>
  <c r="Q51" i="3" s="1"/>
  <c r="V51" i="3" a="1"/>
  <c r="T51" i="3" a="1"/>
  <c r="U51" i="3" a="1"/>
  <c r="S51" i="3" a="1"/>
  <c r="S51" i="3" l="1"/>
  <c r="X51" i="3" s="1"/>
  <c r="U51" i="3"/>
  <c r="Z51" i="3" s="1"/>
  <c r="T51" i="3"/>
  <c r="Y51" i="3" s="1"/>
  <c r="V51" i="3"/>
  <c r="AA51" i="3" s="1"/>
  <c r="A53" i="3"/>
  <c r="F52" i="3"/>
  <c r="B52" i="3"/>
  <c r="C52" i="3"/>
  <c r="D52" i="3"/>
  <c r="E52" i="3"/>
  <c r="H53" i="3"/>
  <c r="M52" i="3"/>
  <c r="AB52" i="3" s="1"/>
  <c r="J52" i="3"/>
  <c r="O52" i="3" s="1"/>
  <c r="I52" i="3"/>
  <c r="N52" i="3" s="1"/>
  <c r="K52" i="3"/>
  <c r="P52" i="3" s="1"/>
  <c r="L52" i="3"/>
  <c r="Q52" i="3" s="1"/>
  <c r="T52" i="3" a="1"/>
  <c r="S52" i="3" a="1"/>
  <c r="U52" i="3" a="1"/>
  <c r="V52" i="3" a="1"/>
  <c r="V52" i="3" l="1"/>
  <c r="AA52" i="3" s="1"/>
  <c r="U52" i="3"/>
  <c r="Z52" i="3" s="1"/>
  <c r="S52" i="3"/>
  <c r="X52" i="3" s="1"/>
  <c r="T52" i="3"/>
  <c r="Y52" i="3" s="1"/>
  <c r="A54" i="3"/>
  <c r="F53" i="3"/>
  <c r="B53" i="3"/>
  <c r="C53" i="3"/>
  <c r="E53" i="3"/>
  <c r="D53" i="3"/>
  <c r="H54" i="3"/>
  <c r="M53" i="3"/>
  <c r="AB53" i="3" s="1"/>
  <c r="L53" i="3"/>
  <c r="Q53" i="3" s="1"/>
  <c r="I53" i="3"/>
  <c r="N53" i="3" s="1"/>
  <c r="K53" i="3"/>
  <c r="P53" i="3" s="1"/>
  <c r="J53" i="3"/>
  <c r="O53" i="3" s="1"/>
  <c r="V53" i="3" a="1"/>
  <c r="T53" i="3" a="1"/>
  <c r="S53" i="3" a="1"/>
  <c r="U53" i="3" a="1"/>
  <c r="U53" i="3" l="1"/>
  <c r="Z53" i="3" s="1"/>
  <c r="S53" i="3"/>
  <c r="X53" i="3" s="1"/>
  <c r="T53" i="3"/>
  <c r="Y53" i="3" s="1"/>
  <c r="V53" i="3"/>
  <c r="AA53" i="3" s="1"/>
  <c r="H55" i="3"/>
  <c r="M54" i="3"/>
  <c r="AB54" i="3" s="1"/>
  <c r="I54" i="3"/>
  <c r="N54" i="3" s="1"/>
  <c r="J54" i="3"/>
  <c r="O54" i="3" s="1"/>
  <c r="L54" i="3"/>
  <c r="Q54" i="3" s="1"/>
  <c r="K54" i="3"/>
  <c r="P54" i="3" s="1"/>
  <c r="A55" i="3"/>
  <c r="F54" i="3"/>
  <c r="B54" i="3"/>
  <c r="D54" i="3"/>
  <c r="E54" i="3"/>
  <c r="C54" i="3"/>
  <c r="T54" i="3" a="1"/>
  <c r="V54" i="3" a="1"/>
  <c r="U54" i="3" a="1"/>
  <c r="S54" i="3" a="1"/>
  <c r="S54" i="3" l="1"/>
  <c r="X54" i="3" s="1"/>
  <c r="U54" i="3"/>
  <c r="Z54" i="3" s="1"/>
  <c r="V54" i="3"/>
  <c r="AA54" i="3" s="1"/>
  <c r="T54" i="3"/>
  <c r="Y54" i="3" s="1"/>
  <c r="A56" i="3"/>
  <c r="F55" i="3"/>
  <c r="D55" i="3"/>
  <c r="B55" i="3"/>
  <c r="C55" i="3"/>
  <c r="E55" i="3"/>
  <c r="H56" i="3"/>
  <c r="M55" i="3"/>
  <c r="AB55" i="3"/>
  <c r="J55" i="3"/>
  <c r="O55" i="3" s="1"/>
  <c r="L55" i="3"/>
  <c r="Q55" i="3" s="1"/>
  <c r="K55" i="3"/>
  <c r="P55" i="3" s="1"/>
  <c r="I55" i="3"/>
  <c r="N55" i="3" s="1"/>
  <c r="T55" i="3" a="1"/>
  <c r="S55" i="3" a="1"/>
  <c r="V55" i="3" a="1"/>
  <c r="U55" i="3" a="1"/>
  <c r="U55" i="3" l="1"/>
  <c r="Z55" i="3" s="1"/>
  <c r="V55" i="3"/>
  <c r="AA55" i="3" s="1"/>
  <c r="S55" i="3"/>
  <c r="X55" i="3" s="1"/>
  <c r="T55" i="3"/>
  <c r="Y55" i="3" s="1"/>
  <c r="H57" i="3"/>
  <c r="M56" i="3"/>
  <c r="AB56" i="3" s="1"/>
  <c r="K56" i="3"/>
  <c r="P56" i="3" s="1"/>
  <c r="I56" i="3"/>
  <c r="N56" i="3" s="1"/>
  <c r="J56" i="3"/>
  <c r="O56" i="3" s="1"/>
  <c r="L56" i="3"/>
  <c r="Q56" i="3" s="1"/>
  <c r="A57" i="3"/>
  <c r="F56" i="3"/>
  <c r="E56" i="3"/>
  <c r="D56" i="3"/>
  <c r="C56" i="3"/>
  <c r="B56" i="3"/>
  <c r="V56" i="3" a="1"/>
  <c r="S56" i="3" a="1"/>
  <c r="T56" i="3" a="1"/>
  <c r="U56" i="3" a="1"/>
  <c r="U56" i="3" l="1"/>
  <c r="Z56" i="3" s="1"/>
  <c r="T56" i="3"/>
  <c r="Y56" i="3" s="1"/>
  <c r="S56" i="3"/>
  <c r="X56" i="3" s="1"/>
  <c r="V56" i="3"/>
  <c r="AA56" i="3" s="1"/>
  <c r="H58" i="3"/>
  <c r="M57" i="3"/>
  <c r="AB57" i="3"/>
  <c r="I57" i="3"/>
  <c r="N57" i="3" s="1"/>
  <c r="J57" i="3"/>
  <c r="O57" i="3" s="1"/>
  <c r="K57" i="3"/>
  <c r="P57" i="3" s="1"/>
  <c r="L57" i="3"/>
  <c r="Q57" i="3" s="1"/>
  <c r="A58" i="3"/>
  <c r="F57" i="3"/>
  <c r="B57" i="3"/>
  <c r="C57" i="3"/>
  <c r="D57" i="3"/>
  <c r="E57" i="3"/>
  <c r="U57" i="3" a="1"/>
  <c r="S57" i="3" a="1"/>
  <c r="V57" i="3" a="1"/>
  <c r="T57" i="3" a="1"/>
  <c r="T57" i="3" l="1"/>
  <c r="Y57" i="3" s="1"/>
  <c r="U57" i="3"/>
  <c r="Z57" i="3" s="1"/>
  <c r="V57" i="3"/>
  <c r="AA57" i="3" s="1"/>
  <c r="S57" i="3"/>
  <c r="X57" i="3" s="1"/>
  <c r="A59" i="3"/>
  <c r="F58" i="3"/>
  <c r="B58" i="3"/>
  <c r="E58" i="3"/>
  <c r="D58" i="3"/>
  <c r="C58" i="3"/>
  <c r="H59" i="3"/>
  <c r="M58" i="3"/>
  <c r="AB58" i="3" s="1"/>
  <c r="L58" i="3"/>
  <c r="Q58" i="3" s="1"/>
  <c r="I58" i="3"/>
  <c r="N58" i="3" s="1"/>
  <c r="K58" i="3"/>
  <c r="P58" i="3" s="1"/>
  <c r="J58" i="3"/>
  <c r="O58" i="3" s="1"/>
  <c r="S58" i="3" a="1"/>
  <c r="V58" i="3" a="1"/>
  <c r="U58" i="3" a="1"/>
  <c r="T58" i="3" a="1"/>
  <c r="T58" i="3" l="1"/>
  <c r="Y58" i="3" s="1"/>
  <c r="U58" i="3"/>
  <c r="Z58" i="3" s="1"/>
  <c r="S58" i="3"/>
  <c r="X58" i="3" s="1"/>
  <c r="V58" i="3"/>
  <c r="AA58" i="3" s="1"/>
  <c r="H60" i="3"/>
  <c r="M59" i="3"/>
  <c r="AB59" i="3" s="1"/>
  <c r="I59" i="3"/>
  <c r="N59" i="3" s="1"/>
  <c r="J59" i="3"/>
  <c r="O59" i="3" s="1"/>
  <c r="K59" i="3"/>
  <c r="P59" i="3" s="1"/>
  <c r="L59" i="3"/>
  <c r="Q59" i="3" s="1"/>
  <c r="A60" i="3"/>
  <c r="F59" i="3"/>
  <c r="B59" i="3"/>
  <c r="E59" i="3"/>
  <c r="C59" i="3"/>
  <c r="D59" i="3"/>
  <c r="T59" i="3" a="1"/>
  <c r="V59" i="3" a="1"/>
  <c r="U59" i="3" a="1"/>
  <c r="S59" i="3" a="1"/>
  <c r="S59" i="3" l="1"/>
  <c r="X59" i="3" s="1"/>
  <c r="V59" i="3"/>
  <c r="AA59" i="3" s="1"/>
  <c r="T59" i="3"/>
  <c r="Y59" i="3" s="1"/>
  <c r="U59" i="3"/>
  <c r="Z59" i="3" s="1"/>
  <c r="H61" i="3"/>
  <c r="M60" i="3"/>
  <c r="AB60" i="3" s="1"/>
  <c r="K60" i="3"/>
  <c r="P60" i="3" s="1"/>
  <c r="L60" i="3"/>
  <c r="Q60" i="3" s="1"/>
  <c r="I60" i="3"/>
  <c r="N60" i="3" s="1"/>
  <c r="J60" i="3"/>
  <c r="O60" i="3" s="1"/>
  <c r="A61" i="3"/>
  <c r="F60" i="3"/>
  <c r="E60" i="3"/>
  <c r="C60" i="3"/>
  <c r="D60" i="3"/>
  <c r="B60" i="3"/>
  <c r="U60" i="3" a="1"/>
  <c r="T60" i="3" a="1"/>
  <c r="S60" i="3" a="1"/>
  <c r="V60" i="3" a="1"/>
  <c r="V60" i="3" l="1"/>
  <c r="AA60" i="3" s="1"/>
  <c r="U60" i="3"/>
  <c r="Z60" i="3" s="1"/>
  <c r="S60" i="3"/>
  <c r="X60" i="3" s="1"/>
  <c r="T60" i="3"/>
  <c r="Y60" i="3" s="1"/>
  <c r="A62" i="3"/>
  <c r="F61" i="3"/>
  <c r="D61" i="3"/>
  <c r="B61" i="3"/>
  <c r="E61" i="3"/>
  <c r="C61" i="3"/>
  <c r="H62" i="3"/>
  <c r="AB61" i="3"/>
  <c r="M61" i="3"/>
  <c r="I61" i="3"/>
  <c r="N61" i="3" s="1"/>
  <c r="K61" i="3"/>
  <c r="P61" i="3" s="1"/>
  <c r="L61" i="3"/>
  <c r="Q61" i="3" s="1"/>
  <c r="J61" i="3"/>
  <c r="O61" i="3" s="1"/>
  <c r="V61" i="3" a="1"/>
  <c r="U61" i="3" a="1"/>
  <c r="S61" i="3" a="1"/>
  <c r="T61" i="3" a="1"/>
  <c r="T61" i="3" l="1"/>
  <c r="Y61" i="3" s="1"/>
  <c r="S61" i="3"/>
  <c r="X61" i="3" s="1"/>
  <c r="V61" i="3"/>
  <c r="AA61" i="3" s="1"/>
  <c r="U61" i="3"/>
  <c r="Z61" i="3" s="1"/>
  <c r="H63" i="3"/>
  <c r="M62" i="3"/>
  <c r="AB62" i="3" s="1"/>
  <c r="L62" i="3"/>
  <c r="Q62" i="3" s="1"/>
  <c r="I62" i="3"/>
  <c r="N62" i="3" s="1"/>
  <c r="J62" i="3"/>
  <c r="O62" i="3" s="1"/>
  <c r="K62" i="3"/>
  <c r="P62" i="3" s="1"/>
  <c r="A63" i="3"/>
  <c r="F62" i="3"/>
  <c r="E62" i="3"/>
  <c r="D62" i="3"/>
  <c r="B62" i="3"/>
  <c r="C62" i="3"/>
  <c r="S62" i="3" a="1"/>
  <c r="T62" i="3" a="1"/>
  <c r="U62" i="3" a="1"/>
  <c r="V62" i="3" a="1"/>
  <c r="U62" i="3" l="1"/>
  <c r="Z62" i="3" s="1"/>
  <c r="S62" i="3"/>
  <c r="X62" i="3" s="1"/>
  <c r="V62" i="3"/>
  <c r="AA62" i="3" s="1"/>
  <c r="T62" i="3"/>
  <c r="Y62" i="3" s="1"/>
  <c r="A64" i="3"/>
  <c r="F63" i="3"/>
  <c r="C63" i="3"/>
  <c r="B63" i="3"/>
  <c r="E63" i="3"/>
  <c r="D63" i="3"/>
  <c r="H64" i="3"/>
  <c r="AB63" i="3"/>
  <c r="M63" i="3"/>
  <c r="I63" i="3"/>
  <c r="N63" i="3" s="1"/>
  <c r="L63" i="3"/>
  <c r="Q63" i="3" s="1"/>
  <c r="J63" i="3"/>
  <c r="O63" i="3" s="1"/>
  <c r="K63" i="3"/>
  <c r="P63" i="3" s="1"/>
  <c r="V63" i="3" a="1"/>
  <c r="U63" i="3" a="1"/>
  <c r="S63" i="3" a="1"/>
  <c r="T63" i="3" a="1"/>
  <c r="U63" i="3" l="1"/>
  <c r="Z63" i="3" s="1"/>
  <c r="T63" i="3"/>
  <c r="Y63" i="3" s="1"/>
  <c r="V63" i="3"/>
  <c r="AA63" i="3" s="1"/>
  <c r="S63" i="3"/>
  <c r="X63" i="3" s="1"/>
  <c r="H65" i="3"/>
  <c r="M64" i="3"/>
  <c r="AB64" i="3" s="1"/>
  <c r="K64" i="3"/>
  <c r="P64" i="3" s="1"/>
  <c r="I64" i="3"/>
  <c r="N64" i="3" s="1"/>
  <c r="J64" i="3"/>
  <c r="O64" i="3" s="1"/>
  <c r="L64" i="3"/>
  <c r="Q64" i="3" s="1"/>
  <c r="A65" i="3"/>
  <c r="F64" i="3"/>
  <c r="B64" i="3"/>
  <c r="C64" i="3"/>
  <c r="D64" i="3"/>
  <c r="E64" i="3"/>
  <c r="U64" i="3" a="1"/>
  <c r="S64" i="3" a="1"/>
  <c r="T64" i="3" a="1"/>
  <c r="V64" i="3" a="1"/>
  <c r="V64" i="3" l="1"/>
  <c r="AA64" i="3" s="1"/>
  <c r="U64" i="3"/>
  <c r="Z64" i="3" s="1"/>
  <c r="S64" i="3"/>
  <c r="X64" i="3" s="1"/>
  <c r="T64" i="3"/>
  <c r="Y64" i="3" s="1"/>
  <c r="H66" i="3"/>
  <c r="M65" i="3"/>
  <c r="AB65" i="3" s="1"/>
  <c r="I65" i="3"/>
  <c r="N65" i="3" s="1"/>
  <c r="J65" i="3"/>
  <c r="O65" i="3" s="1"/>
  <c r="K65" i="3"/>
  <c r="P65" i="3" s="1"/>
  <c r="L65" i="3"/>
  <c r="Q65" i="3" s="1"/>
  <c r="A66" i="3"/>
  <c r="F65" i="3"/>
  <c r="B65" i="3"/>
  <c r="E65" i="3"/>
  <c r="D65" i="3"/>
  <c r="C65" i="3"/>
  <c r="S65" i="3" a="1"/>
  <c r="U65" i="3" a="1"/>
  <c r="V65" i="3" a="1"/>
  <c r="T65" i="3" a="1"/>
  <c r="T65" i="3" l="1"/>
  <c r="Y65" i="3" s="1"/>
  <c r="V65" i="3"/>
  <c r="AA65" i="3" s="1"/>
  <c r="S65" i="3"/>
  <c r="X65" i="3" s="1"/>
  <c r="U65" i="3"/>
  <c r="Z65" i="3" s="1"/>
  <c r="A67" i="3"/>
  <c r="F66" i="3"/>
  <c r="B66" i="3"/>
  <c r="D66" i="3"/>
  <c r="C66" i="3"/>
  <c r="E66" i="3"/>
  <c r="H67" i="3"/>
  <c r="M66" i="3"/>
  <c r="AB66" i="3" s="1"/>
  <c r="J66" i="3"/>
  <c r="O66" i="3" s="1"/>
  <c r="K66" i="3"/>
  <c r="P66" i="3" s="1"/>
  <c r="L66" i="3"/>
  <c r="Q66" i="3" s="1"/>
  <c r="I66" i="3"/>
  <c r="N66" i="3" s="1"/>
  <c r="U66" i="3" a="1"/>
  <c r="V66" i="3" a="1"/>
  <c r="T66" i="3" a="1"/>
  <c r="S66" i="3" a="1"/>
  <c r="S66" i="3" l="1"/>
  <c r="X66" i="3" s="1"/>
  <c r="V66" i="3"/>
  <c r="AA66" i="3" s="1"/>
  <c r="U66" i="3"/>
  <c r="Z66" i="3" s="1"/>
  <c r="T66" i="3"/>
  <c r="Y66" i="3" s="1"/>
  <c r="A68" i="3"/>
  <c r="F67" i="3"/>
  <c r="B67" i="3"/>
  <c r="E67" i="3"/>
  <c r="D67" i="3"/>
  <c r="C67" i="3"/>
  <c r="H68" i="3"/>
  <c r="M67" i="3"/>
  <c r="AB67" i="3" s="1"/>
  <c r="I67" i="3"/>
  <c r="N67" i="3" s="1"/>
  <c r="K67" i="3"/>
  <c r="P67" i="3" s="1"/>
  <c r="L67" i="3"/>
  <c r="Q67" i="3" s="1"/>
  <c r="J67" i="3"/>
  <c r="O67" i="3" s="1"/>
  <c r="U67" i="3" a="1"/>
  <c r="V67" i="3" a="1"/>
  <c r="S67" i="3" a="1"/>
  <c r="T67" i="3" a="1"/>
  <c r="T67" i="3" l="1"/>
  <c r="Y67" i="3" s="1"/>
  <c r="U67" i="3"/>
  <c r="Z67" i="3" s="1"/>
  <c r="V67" i="3"/>
  <c r="AA67" i="3" s="1"/>
  <c r="S67" i="3"/>
  <c r="X67" i="3" s="1"/>
  <c r="H69" i="3"/>
  <c r="M68" i="3"/>
  <c r="AB68" i="3"/>
  <c r="J68" i="3"/>
  <c r="O68" i="3" s="1"/>
  <c r="K68" i="3"/>
  <c r="P68" i="3" s="1"/>
  <c r="L68" i="3"/>
  <c r="Q68" i="3" s="1"/>
  <c r="I68" i="3"/>
  <c r="N68" i="3" s="1"/>
  <c r="A69" i="3"/>
  <c r="F68" i="3"/>
  <c r="D68" i="3"/>
  <c r="B68" i="3"/>
  <c r="C68" i="3"/>
  <c r="E68" i="3"/>
  <c r="V68" i="3" a="1"/>
  <c r="T68" i="3" a="1"/>
  <c r="U68" i="3" a="1"/>
  <c r="S68" i="3" a="1"/>
  <c r="S68" i="3" l="1"/>
  <c r="X68" i="3" s="1"/>
  <c r="U68" i="3"/>
  <c r="Z68" i="3" s="1"/>
  <c r="V68" i="3"/>
  <c r="AA68" i="3" s="1"/>
  <c r="T68" i="3"/>
  <c r="Y68" i="3" s="1"/>
  <c r="A70" i="3"/>
  <c r="F69" i="3"/>
  <c r="E69" i="3"/>
  <c r="C69" i="3"/>
  <c r="B69" i="3"/>
  <c r="D69" i="3"/>
  <c r="H70" i="3"/>
  <c r="M69" i="3"/>
  <c r="AB69" i="3" s="1"/>
  <c r="J69" i="3"/>
  <c r="O69" i="3" s="1"/>
  <c r="I69" i="3"/>
  <c r="N69" i="3" s="1"/>
  <c r="K69" i="3"/>
  <c r="P69" i="3" s="1"/>
  <c r="L69" i="3"/>
  <c r="Q69" i="3" s="1"/>
  <c r="S69" i="3" a="1"/>
  <c r="V69" i="3" a="1"/>
  <c r="U69" i="3" a="1"/>
  <c r="T69" i="3" a="1"/>
  <c r="V69" i="3" l="1"/>
  <c r="AA69" i="3" s="1"/>
  <c r="U69" i="3"/>
  <c r="Z69" i="3" s="1"/>
  <c r="S69" i="3"/>
  <c r="X69" i="3" s="1"/>
  <c r="T69" i="3"/>
  <c r="Y69" i="3" s="1"/>
  <c r="H71" i="3"/>
  <c r="M70" i="3"/>
  <c r="AB70" i="3"/>
  <c r="J70" i="3"/>
  <c r="O70" i="3" s="1"/>
  <c r="I70" i="3"/>
  <c r="N70" i="3" s="1"/>
  <c r="K70" i="3"/>
  <c r="P70" i="3" s="1"/>
  <c r="L70" i="3"/>
  <c r="Q70" i="3" s="1"/>
  <c r="A71" i="3"/>
  <c r="F70" i="3"/>
  <c r="B70" i="3"/>
  <c r="D70" i="3"/>
  <c r="C70" i="3"/>
  <c r="E70" i="3"/>
  <c r="T70" i="3" a="1"/>
  <c r="S70" i="3" a="1"/>
  <c r="U70" i="3" a="1"/>
  <c r="V70" i="3" a="1"/>
  <c r="V70" i="3" l="1"/>
  <c r="AA70" i="3" s="1"/>
  <c r="U70" i="3"/>
  <c r="Z70" i="3" s="1"/>
  <c r="S70" i="3"/>
  <c r="X70" i="3" s="1"/>
  <c r="T70" i="3"/>
  <c r="Y70" i="3" s="1"/>
  <c r="A72" i="3"/>
  <c r="F71" i="3"/>
  <c r="B71" i="3"/>
  <c r="E71" i="3"/>
  <c r="D71" i="3"/>
  <c r="C71" i="3"/>
  <c r="H72" i="3"/>
  <c r="M71" i="3"/>
  <c r="AB71" i="3" s="1"/>
  <c r="I71" i="3"/>
  <c r="N71" i="3" s="1"/>
  <c r="L71" i="3"/>
  <c r="Q71" i="3" s="1"/>
  <c r="K71" i="3"/>
  <c r="P71" i="3" s="1"/>
  <c r="J71" i="3"/>
  <c r="O71" i="3" s="1"/>
  <c r="U71" i="3" a="1"/>
  <c r="V71" i="3" a="1"/>
  <c r="S71" i="3" a="1"/>
  <c r="T71" i="3" a="1"/>
  <c r="T71" i="3" l="1"/>
  <c r="Y71" i="3" s="1"/>
  <c r="V71" i="3"/>
  <c r="AA71" i="3" s="1"/>
  <c r="U71" i="3"/>
  <c r="Z71" i="3" s="1"/>
  <c r="S71" i="3"/>
  <c r="X71" i="3" s="1"/>
  <c r="H73" i="3"/>
  <c r="M72" i="3"/>
  <c r="AB72" i="3" s="1"/>
  <c r="L72" i="3"/>
  <c r="Q72" i="3" s="1"/>
  <c r="J72" i="3"/>
  <c r="O72" i="3" s="1"/>
  <c r="I72" i="3"/>
  <c r="N72" i="3" s="1"/>
  <c r="K72" i="3"/>
  <c r="P72" i="3" s="1"/>
  <c r="A73" i="3"/>
  <c r="F72" i="3"/>
  <c r="E72" i="3"/>
  <c r="B72" i="3"/>
  <c r="D72" i="3"/>
  <c r="C72" i="3"/>
  <c r="T72" i="3" a="1"/>
  <c r="V72" i="3" a="1"/>
  <c r="U72" i="3" a="1"/>
  <c r="S72" i="3" a="1"/>
  <c r="U72" i="3" l="1"/>
  <c r="Z72" i="3" s="1"/>
  <c r="T72" i="3"/>
  <c r="Y72" i="3" s="1"/>
  <c r="S72" i="3"/>
  <c r="X72" i="3" s="1"/>
  <c r="V72" i="3"/>
  <c r="AA72" i="3" s="1"/>
  <c r="A74" i="3"/>
  <c r="F73" i="3"/>
  <c r="E73" i="3"/>
  <c r="D73" i="3"/>
  <c r="B73" i="3"/>
  <c r="C73" i="3"/>
  <c r="H74" i="3"/>
  <c r="AB73" i="3"/>
  <c r="M73" i="3"/>
  <c r="I73" i="3"/>
  <c r="N73" i="3" s="1"/>
  <c r="L73" i="3"/>
  <c r="Q73" i="3" s="1"/>
  <c r="K73" i="3"/>
  <c r="P73" i="3" s="1"/>
  <c r="J73" i="3"/>
  <c r="O73" i="3" s="1"/>
  <c r="V73" i="3" a="1"/>
  <c r="U73" i="3" a="1"/>
  <c r="T73" i="3" a="1"/>
  <c r="S73" i="3" a="1"/>
  <c r="U73" i="3" l="1"/>
  <c r="Z73" i="3" s="1"/>
  <c r="S73" i="3"/>
  <c r="X73" i="3" s="1"/>
  <c r="T73" i="3"/>
  <c r="Y73" i="3" s="1"/>
  <c r="V73" i="3"/>
  <c r="AA73" i="3" s="1"/>
  <c r="A75" i="3"/>
  <c r="F74" i="3"/>
  <c r="D74" i="3"/>
  <c r="E74" i="3"/>
  <c r="B74" i="3"/>
  <c r="C74" i="3"/>
  <c r="A76" i="3" l="1"/>
  <c r="F75" i="3"/>
  <c r="E75" i="3"/>
  <c r="B75" i="3"/>
  <c r="D75" i="3"/>
  <c r="C75" i="3"/>
  <c r="A77" i="3" l="1"/>
  <c r="F76" i="3"/>
  <c r="B76" i="3"/>
  <c r="C76" i="3"/>
  <c r="E76" i="3"/>
  <c r="D76" i="3"/>
  <c r="A78" i="3" l="1"/>
  <c r="F77" i="3"/>
  <c r="B77" i="3"/>
  <c r="E77" i="3"/>
  <c r="C77" i="3"/>
  <c r="D77" i="3"/>
  <c r="A79" i="3" l="1"/>
  <c r="F78" i="3"/>
  <c r="E78" i="3"/>
  <c r="B78" i="3"/>
  <c r="C78" i="3"/>
  <c r="D78" i="3"/>
  <c r="A80" i="3" l="1"/>
  <c r="F79" i="3"/>
  <c r="D79" i="3"/>
  <c r="C79" i="3"/>
  <c r="B79" i="3"/>
  <c r="E79" i="3"/>
  <c r="A81" i="3" l="1"/>
  <c r="F80" i="3"/>
  <c r="D80" i="3"/>
  <c r="E80" i="3"/>
  <c r="C80" i="3"/>
  <c r="B80" i="3"/>
  <c r="A82" i="3" l="1"/>
  <c r="F81" i="3"/>
  <c r="C81" i="3"/>
  <c r="D81" i="3"/>
  <c r="B81" i="3"/>
  <c r="E81" i="3"/>
  <c r="A83" i="3" l="1"/>
  <c r="F82" i="3"/>
  <c r="D82" i="3"/>
  <c r="B82" i="3"/>
  <c r="C82" i="3"/>
  <c r="E82" i="3"/>
  <c r="A84" i="3" l="1"/>
  <c r="F83" i="3"/>
  <c r="C83" i="3"/>
  <c r="B83" i="3"/>
  <c r="E83" i="3"/>
  <c r="D83" i="3"/>
  <c r="A85" i="3" l="1"/>
  <c r="F84" i="3"/>
  <c r="C84" i="3"/>
  <c r="D84" i="3"/>
  <c r="B84" i="3"/>
  <c r="E84" i="3"/>
  <c r="A86" i="3" l="1"/>
  <c r="F85" i="3"/>
  <c r="B85" i="3"/>
  <c r="C85" i="3"/>
  <c r="D85" i="3"/>
  <c r="E85" i="3"/>
  <c r="A87" i="3" l="1"/>
  <c r="F86" i="3"/>
  <c r="E86" i="3"/>
  <c r="B86" i="3"/>
  <c r="D86" i="3"/>
  <c r="C86" i="3"/>
  <c r="A88" i="3" l="1"/>
  <c r="F87" i="3"/>
  <c r="B87" i="3"/>
  <c r="C87" i="3"/>
  <c r="E87" i="3"/>
  <c r="D87" i="3"/>
  <c r="A89" i="3" l="1"/>
  <c r="F88" i="3"/>
  <c r="B88" i="3"/>
  <c r="D88" i="3"/>
  <c r="E88" i="3"/>
  <c r="C88" i="3"/>
  <c r="A90" i="3" l="1"/>
  <c r="F89" i="3"/>
  <c r="E89" i="3"/>
  <c r="B89" i="3"/>
  <c r="C89" i="3"/>
  <c r="D89" i="3"/>
  <c r="A91" i="3" l="1"/>
  <c r="F90" i="3"/>
  <c r="C90" i="3"/>
  <c r="E90" i="3"/>
  <c r="B90" i="3"/>
  <c r="D90" i="3"/>
  <c r="A92" i="3" l="1"/>
  <c r="F91" i="3"/>
  <c r="C91" i="3"/>
  <c r="D91" i="3"/>
  <c r="E91" i="3"/>
  <c r="B91" i="3"/>
  <c r="A93" i="3" l="1"/>
  <c r="F92" i="3"/>
  <c r="B92" i="3"/>
  <c r="E92" i="3"/>
  <c r="C92" i="3"/>
  <c r="D92" i="3"/>
  <c r="A94" i="3" l="1"/>
  <c r="F93" i="3"/>
  <c r="B93" i="3"/>
  <c r="E93" i="3"/>
  <c r="C93" i="3"/>
  <c r="D93" i="3"/>
  <c r="A95" i="3" l="1"/>
  <c r="F94" i="3"/>
  <c r="C94" i="3"/>
  <c r="D94" i="3"/>
  <c r="E94" i="3"/>
  <c r="B94" i="3"/>
  <c r="A96" i="3" l="1"/>
  <c r="F95" i="3"/>
  <c r="B95" i="3"/>
  <c r="C95" i="3"/>
  <c r="D95" i="3"/>
  <c r="E95" i="3"/>
  <c r="A97" i="3" l="1"/>
  <c r="F96" i="3"/>
  <c r="D96" i="3"/>
  <c r="E96" i="3"/>
  <c r="B96" i="3"/>
  <c r="C96" i="3"/>
  <c r="A98" i="3" l="1"/>
  <c r="F97" i="3"/>
  <c r="D97" i="3"/>
  <c r="C97" i="3"/>
  <c r="B97" i="3"/>
  <c r="E97" i="3"/>
  <c r="A99" i="3" l="1"/>
  <c r="F98" i="3"/>
  <c r="B98" i="3"/>
  <c r="C98" i="3"/>
  <c r="D98" i="3"/>
  <c r="E98" i="3"/>
  <c r="A100" i="3" l="1"/>
  <c r="F99" i="3"/>
  <c r="C99" i="3"/>
  <c r="E99" i="3"/>
  <c r="B99" i="3"/>
  <c r="D99" i="3"/>
  <c r="A101" i="3" l="1"/>
  <c r="F100" i="3"/>
  <c r="C100" i="3"/>
  <c r="E100" i="3"/>
  <c r="B100" i="3"/>
  <c r="D100" i="3"/>
  <c r="A102" i="3" l="1"/>
  <c r="F101" i="3"/>
  <c r="E101" i="3"/>
  <c r="B101" i="3"/>
  <c r="D101" i="3"/>
  <c r="C101" i="3"/>
  <c r="A103" i="3" l="1"/>
  <c r="F102" i="3"/>
  <c r="B102" i="3"/>
  <c r="E102" i="3"/>
  <c r="D102" i="3"/>
  <c r="C102" i="3"/>
  <c r="A104" i="3" l="1"/>
  <c r="F103" i="3"/>
  <c r="D103" i="3"/>
  <c r="E103" i="3"/>
  <c r="C103" i="3"/>
  <c r="B103" i="3"/>
  <c r="A105" i="3" l="1"/>
  <c r="F104" i="3"/>
  <c r="E104" i="3"/>
  <c r="C104" i="3"/>
  <c r="D104" i="3"/>
  <c r="B104" i="3"/>
  <c r="A106" i="3" l="1"/>
  <c r="F105" i="3"/>
  <c r="B105" i="3"/>
  <c r="C105" i="3"/>
  <c r="D105" i="3"/>
  <c r="E105" i="3"/>
  <c r="A107" i="3" l="1"/>
  <c r="F106" i="3"/>
  <c r="C106" i="3"/>
  <c r="E106" i="3"/>
  <c r="D106" i="3"/>
  <c r="B106" i="3"/>
  <c r="A108" i="3" l="1"/>
  <c r="F107" i="3"/>
  <c r="C107" i="3"/>
  <c r="B107" i="3"/>
  <c r="D107" i="3"/>
  <c r="E107" i="3"/>
  <c r="A109" i="3" l="1"/>
  <c r="F108" i="3"/>
  <c r="D108" i="3"/>
  <c r="B108" i="3"/>
  <c r="C108" i="3"/>
  <c r="E108" i="3"/>
  <c r="A110" i="3" l="1"/>
  <c r="F109" i="3"/>
  <c r="B109" i="3"/>
  <c r="D109" i="3"/>
  <c r="C109" i="3"/>
  <c r="E109" i="3"/>
  <c r="A111" i="3" l="1"/>
  <c r="F110" i="3"/>
  <c r="C110" i="3"/>
  <c r="B110" i="3"/>
  <c r="E110" i="3"/>
  <c r="D110" i="3"/>
  <c r="A112" i="3" l="1"/>
  <c r="F111" i="3"/>
  <c r="C111" i="3"/>
  <c r="E111" i="3"/>
  <c r="D111" i="3"/>
  <c r="B111" i="3"/>
  <c r="A113" i="3" l="1"/>
  <c r="F112" i="3"/>
  <c r="E112" i="3"/>
  <c r="B112" i="3"/>
  <c r="D112" i="3"/>
  <c r="C112" i="3"/>
  <c r="A114" i="3" l="1"/>
  <c r="F113" i="3"/>
  <c r="E113" i="3"/>
  <c r="B113" i="3"/>
  <c r="D113" i="3"/>
  <c r="C113" i="3"/>
  <c r="A115" i="3" l="1"/>
  <c r="F114" i="3"/>
  <c r="B114" i="3"/>
  <c r="C114" i="3"/>
  <c r="D114" i="3"/>
  <c r="E114" i="3"/>
  <c r="A116" i="3" l="1"/>
  <c r="F115" i="3"/>
  <c r="B115" i="3"/>
  <c r="D115" i="3"/>
  <c r="E115" i="3"/>
  <c r="C115" i="3"/>
  <c r="A117" i="3" l="1"/>
  <c r="F116" i="3"/>
  <c r="B116" i="3"/>
  <c r="C116" i="3"/>
  <c r="E116" i="3"/>
  <c r="D116" i="3"/>
  <c r="A118" i="3" l="1"/>
  <c r="F117" i="3"/>
  <c r="B117" i="3"/>
  <c r="E117" i="3"/>
  <c r="D117" i="3"/>
  <c r="C117" i="3"/>
  <c r="A119" i="3" l="1"/>
  <c r="F118" i="3"/>
  <c r="B118" i="3"/>
  <c r="C118" i="3"/>
  <c r="E118" i="3"/>
  <c r="D118" i="3"/>
  <c r="A120" i="3" l="1"/>
  <c r="F119" i="3"/>
  <c r="E119" i="3"/>
  <c r="B119" i="3"/>
  <c r="D119" i="3"/>
  <c r="C119" i="3"/>
  <c r="A121" i="3" l="1"/>
  <c r="F120" i="3"/>
  <c r="E120" i="3"/>
  <c r="B120" i="3"/>
  <c r="D120" i="3"/>
  <c r="C120" i="3"/>
  <c r="A122" i="3" l="1"/>
  <c r="F121" i="3"/>
  <c r="E121" i="3"/>
  <c r="D121" i="3"/>
  <c r="B121" i="3"/>
  <c r="C121" i="3"/>
  <c r="A123" i="3" l="1"/>
  <c r="F122" i="3"/>
  <c r="D122" i="3"/>
  <c r="B122" i="3"/>
  <c r="C122" i="3"/>
  <c r="E122" i="3"/>
  <c r="A124" i="3" l="1"/>
  <c r="F123" i="3"/>
  <c r="B123" i="3"/>
  <c r="E123" i="3"/>
  <c r="D123" i="3"/>
  <c r="C123" i="3"/>
  <c r="A125" i="3" l="1"/>
  <c r="F124" i="3"/>
  <c r="D124" i="3"/>
  <c r="E124" i="3"/>
  <c r="B124" i="3"/>
  <c r="C124" i="3"/>
  <c r="A126" i="3" l="1"/>
  <c r="F125" i="3"/>
  <c r="B125" i="3"/>
  <c r="E125" i="3"/>
  <c r="D125" i="3"/>
  <c r="C125" i="3"/>
  <c r="A127" i="3" l="1"/>
  <c r="F126" i="3"/>
  <c r="B126" i="3"/>
  <c r="D126" i="3"/>
  <c r="E126" i="3"/>
  <c r="C126" i="3"/>
  <c r="A128" i="3" l="1"/>
  <c r="F127" i="3"/>
  <c r="D127" i="3"/>
  <c r="C127" i="3"/>
  <c r="B127" i="3"/>
  <c r="E127" i="3"/>
  <c r="A129" i="3" l="1"/>
  <c r="F128" i="3"/>
  <c r="B128" i="3"/>
  <c r="C128" i="3"/>
  <c r="E128" i="3"/>
  <c r="D128" i="3"/>
  <c r="A130" i="3" l="1"/>
  <c r="F129" i="3"/>
  <c r="B129" i="3"/>
  <c r="E129" i="3"/>
  <c r="D129" i="3"/>
  <c r="C129" i="3"/>
  <c r="A131" i="3" l="1"/>
  <c r="F130" i="3"/>
  <c r="B130" i="3"/>
  <c r="C130" i="3"/>
  <c r="E130" i="3"/>
  <c r="D130" i="3"/>
  <c r="A132" i="3" l="1"/>
  <c r="F131" i="3"/>
  <c r="C131" i="3"/>
  <c r="E131" i="3"/>
  <c r="D131" i="3"/>
  <c r="B131" i="3"/>
  <c r="A133" i="3" l="1"/>
  <c r="F132" i="3"/>
  <c r="E132" i="3"/>
  <c r="B132" i="3"/>
  <c r="C132" i="3"/>
  <c r="D132" i="3"/>
  <c r="A134" i="3" l="1"/>
  <c r="F133" i="3"/>
  <c r="B133" i="3"/>
  <c r="D133" i="3"/>
  <c r="C133" i="3"/>
  <c r="E133" i="3"/>
  <c r="A135" i="3" l="1"/>
  <c r="F134" i="3"/>
  <c r="B134" i="3"/>
  <c r="D134" i="3"/>
  <c r="C134" i="3"/>
  <c r="E134" i="3"/>
  <c r="A136" i="3" l="1"/>
  <c r="F135" i="3"/>
  <c r="D135" i="3"/>
  <c r="B135" i="3"/>
  <c r="C135" i="3"/>
  <c r="E135" i="3"/>
  <c r="A137" i="3" l="1"/>
  <c r="F136" i="3"/>
  <c r="B136" i="3"/>
  <c r="C136" i="3"/>
  <c r="E136" i="3"/>
  <c r="D136" i="3"/>
  <c r="A138" i="3" l="1"/>
  <c r="F137" i="3"/>
  <c r="C137" i="3"/>
  <c r="D137" i="3"/>
  <c r="B137" i="3"/>
  <c r="E137" i="3"/>
  <c r="A139" i="3" l="1"/>
  <c r="F138" i="3"/>
  <c r="B138" i="3"/>
  <c r="C138" i="3"/>
  <c r="D138" i="3"/>
  <c r="E138" i="3"/>
  <c r="A140" i="3" l="1"/>
  <c r="F139" i="3"/>
  <c r="B139" i="3"/>
  <c r="D139" i="3"/>
  <c r="E139" i="3"/>
  <c r="C139" i="3"/>
  <c r="A141" i="3" l="1"/>
  <c r="F140" i="3"/>
  <c r="C140" i="3"/>
  <c r="E140" i="3"/>
  <c r="B140" i="3"/>
  <c r="D140" i="3"/>
  <c r="A142" i="3" l="1"/>
  <c r="F141" i="3"/>
  <c r="E141" i="3"/>
  <c r="B141" i="3"/>
  <c r="C141" i="3"/>
  <c r="D141" i="3"/>
  <c r="A143" i="3" l="1"/>
  <c r="F142" i="3"/>
  <c r="B142" i="3"/>
  <c r="D142" i="3"/>
  <c r="E142" i="3"/>
  <c r="C142" i="3"/>
  <c r="A144" i="3" l="1"/>
  <c r="F143" i="3"/>
  <c r="D143" i="3"/>
  <c r="C143" i="3"/>
  <c r="B143" i="3"/>
  <c r="E143" i="3"/>
  <c r="A145" i="3" l="1"/>
  <c r="F144" i="3"/>
  <c r="B144" i="3"/>
  <c r="C144" i="3"/>
  <c r="D144" i="3"/>
  <c r="E144" i="3"/>
  <c r="A146" i="3" l="1"/>
  <c r="F145" i="3"/>
  <c r="C145" i="3"/>
  <c r="B145" i="3"/>
  <c r="D145" i="3"/>
  <c r="E145" i="3"/>
  <c r="A147" i="3" l="1"/>
  <c r="F146" i="3"/>
  <c r="D146" i="3"/>
  <c r="B146" i="3"/>
  <c r="E146" i="3"/>
  <c r="C146" i="3"/>
  <c r="A148" i="3" l="1"/>
  <c r="F147" i="3"/>
  <c r="C147" i="3"/>
  <c r="D147" i="3"/>
  <c r="E147" i="3"/>
  <c r="B147" i="3"/>
  <c r="A149" i="3" l="1"/>
  <c r="F148" i="3"/>
  <c r="B148" i="3"/>
  <c r="D148" i="3"/>
  <c r="E148" i="3"/>
  <c r="C148" i="3"/>
  <c r="A150" i="3" l="1"/>
  <c r="F149" i="3"/>
  <c r="C149" i="3"/>
  <c r="E149" i="3"/>
  <c r="B149" i="3"/>
  <c r="D149" i="3"/>
  <c r="A151" i="3" l="1"/>
  <c r="F150" i="3"/>
  <c r="E150" i="3"/>
  <c r="B150" i="3"/>
  <c r="C150" i="3"/>
  <c r="D150" i="3"/>
  <c r="A152" i="3" l="1"/>
  <c r="F151" i="3"/>
  <c r="E151" i="3"/>
  <c r="D151" i="3"/>
  <c r="C151" i="3"/>
  <c r="B151" i="3"/>
  <c r="A153" i="3" l="1"/>
  <c r="F152" i="3"/>
  <c r="E152" i="3"/>
  <c r="B152" i="3"/>
  <c r="D152" i="3"/>
  <c r="C152" i="3"/>
  <c r="A154" i="3" l="1"/>
  <c r="F153" i="3"/>
  <c r="B153" i="3"/>
  <c r="C153" i="3"/>
  <c r="D153" i="3"/>
  <c r="E153" i="3"/>
  <c r="A155" i="3" l="1"/>
  <c r="F154" i="3"/>
  <c r="E154" i="3"/>
  <c r="B154" i="3"/>
  <c r="D154" i="3"/>
  <c r="C154" i="3"/>
  <c r="A156" i="3" l="1"/>
  <c r="F155" i="3"/>
  <c r="E155" i="3"/>
  <c r="D155" i="3"/>
  <c r="B155" i="3"/>
  <c r="C155" i="3"/>
  <c r="A157" i="3" l="1"/>
  <c r="F156" i="3"/>
  <c r="B156" i="3"/>
  <c r="C156" i="3"/>
  <c r="D156" i="3"/>
  <c r="E156" i="3"/>
  <c r="A158" i="3" l="1"/>
  <c r="F157" i="3"/>
  <c r="D157" i="3"/>
  <c r="B157" i="3"/>
  <c r="E157" i="3"/>
  <c r="C157" i="3"/>
  <c r="A159" i="3" l="1"/>
  <c r="F158" i="3"/>
  <c r="B158" i="3"/>
  <c r="C158" i="3"/>
  <c r="D158" i="3"/>
  <c r="E158" i="3"/>
  <c r="A160" i="3" l="1"/>
  <c r="F159" i="3"/>
  <c r="D159" i="3"/>
  <c r="E159" i="3"/>
  <c r="B159" i="3"/>
  <c r="C159" i="3"/>
  <c r="A161" i="3" l="1"/>
  <c r="F160" i="3"/>
  <c r="E160" i="3"/>
  <c r="B160" i="3"/>
  <c r="D160" i="3"/>
  <c r="C160" i="3"/>
  <c r="A162" i="3" l="1"/>
  <c r="F161" i="3"/>
  <c r="B161" i="3"/>
  <c r="E161" i="3"/>
  <c r="D161" i="3"/>
  <c r="C161" i="3"/>
  <c r="A163" i="3" l="1"/>
  <c r="F162" i="3"/>
  <c r="C162" i="3"/>
  <c r="D162" i="3"/>
  <c r="B162" i="3"/>
  <c r="E162" i="3"/>
  <c r="A164" i="3" l="1"/>
  <c r="F163" i="3"/>
  <c r="C163" i="3"/>
  <c r="D163" i="3"/>
  <c r="E163" i="3"/>
  <c r="B163" i="3"/>
  <c r="A165" i="3" l="1"/>
  <c r="F164" i="3"/>
  <c r="E164" i="3"/>
  <c r="C164" i="3"/>
  <c r="B164" i="3"/>
  <c r="D164" i="3"/>
  <c r="A166" i="3" l="1"/>
  <c r="F165" i="3"/>
  <c r="B165" i="3"/>
  <c r="C165" i="3"/>
  <c r="E165" i="3"/>
  <c r="D165" i="3"/>
  <c r="A167" i="3" l="1"/>
  <c r="F166" i="3"/>
  <c r="E166" i="3"/>
  <c r="D166" i="3"/>
  <c r="B166" i="3"/>
  <c r="C166" i="3"/>
  <c r="A168" i="3" l="1"/>
  <c r="F167" i="3"/>
  <c r="D167" i="3"/>
  <c r="E167" i="3"/>
  <c r="C167" i="3"/>
  <c r="B167" i="3"/>
  <c r="A169" i="3" l="1"/>
  <c r="F168" i="3"/>
  <c r="B168" i="3"/>
  <c r="E168" i="3"/>
  <c r="C168" i="3"/>
  <c r="D168" i="3"/>
  <c r="A170" i="3" l="1"/>
  <c r="F169" i="3"/>
  <c r="E169" i="3"/>
  <c r="B169" i="3"/>
  <c r="D169" i="3"/>
  <c r="C169" i="3"/>
  <c r="A171" i="3" l="1"/>
  <c r="F170" i="3"/>
  <c r="C170" i="3"/>
  <c r="E170" i="3"/>
  <c r="B170" i="3"/>
  <c r="D170" i="3"/>
  <c r="A172" i="3" l="1"/>
  <c r="F171" i="3"/>
  <c r="C171" i="3"/>
  <c r="B171" i="3"/>
  <c r="D171" i="3"/>
  <c r="E171" i="3"/>
  <c r="A173" i="3" l="1"/>
  <c r="F172" i="3"/>
  <c r="B172" i="3"/>
  <c r="E172" i="3"/>
  <c r="D172" i="3"/>
  <c r="C172" i="3"/>
  <c r="A174" i="3" l="1"/>
  <c r="F173" i="3"/>
  <c r="B173" i="3"/>
  <c r="E173" i="3"/>
  <c r="D173" i="3"/>
  <c r="C173" i="3"/>
  <c r="A175" i="3" l="1"/>
  <c r="F174" i="3"/>
  <c r="D174" i="3"/>
  <c r="E174" i="3"/>
  <c r="B174" i="3"/>
  <c r="C174" i="3"/>
  <c r="A176" i="3" l="1"/>
  <c r="F175" i="3"/>
  <c r="C175" i="3"/>
  <c r="D175" i="3"/>
  <c r="B175" i="3"/>
  <c r="E175" i="3"/>
  <c r="A177" i="3" l="1"/>
  <c r="F176" i="3"/>
  <c r="C176" i="3"/>
  <c r="E176" i="3"/>
  <c r="D176" i="3"/>
  <c r="B176" i="3"/>
  <c r="A178" i="3" l="1"/>
  <c r="F177" i="3"/>
  <c r="E177" i="3"/>
  <c r="B177" i="3"/>
  <c r="D177" i="3"/>
  <c r="C177" i="3"/>
  <c r="A179" i="3" l="1"/>
  <c r="F178" i="3"/>
  <c r="C178" i="3"/>
  <c r="E178" i="3"/>
  <c r="D178" i="3"/>
  <c r="B178" i="3"/>
  <c r="A180" i="3" l="1"/>
  <c r="F179" i="3"/>
  <c r="E179" i="3"/>
  <c r="B179" i="3"/>
  <c r="D179" i="3"/>
  <c r="C179" i="3"/>
  <c r="A181" i="3" l="1"/>
  <c r="F180" i="3"/>
  <c r="E180" i="3"/>
  <c r="C180" i="3"/>
  <c r="B180" i="3"/>
  <c r="D180" i="3"/>
  <c r="A182" i="3" l="1"/>
  <c r="F181" i="3"/>
  <c r="C181" i="3"/>
  <c r="D181" i="3"/>
  <c r="B181" i="3"/>
  <c r="E181" i="3"/>
  <c r="A183" i="3" l="1"/>
  <c r="F182" i="3"/>
  <c r="E182" i="3"/>
  <c r="D182" i="3"/>
  <c r="B182" i="3"/>
  <c r="C182" i="3"/>
  <c r="A184" i="3" l="1"/>
  <c r="F183" i="3"/>
  <c r="B183" i="3"/>
  <c r="E183" i="3"/>
  <c r="C183" i="3"/>
  <c r="D183" i="3"/>
  <c r="A185" i="3" l="1"/>
  <c r="F184" i="3"/>
  <c r="C184" i="3"/>
  <c r="E184" i="3"/>
  <c r="B184" i="3"/>
  <c r="D184" i="3"/>
  <c r="A186" i="3" l="1"/>
  <c r="F185" i="3"/>
  <c r="D185" i="3"/>
  <c r="B185" i="3"/>
  <c r="E185" i="3"/>
  <c r="C185" i="3"/>
  <c r="A187" i="3" l="1"/>
  <c r="F186" i="3"/>
  <c r="B186" i="3"/>
  <c r="D186" i="3"/>
  <c r="E186" i="3"/>
  <c r="C186" i="3"/>
  <c r="A188" i="3" l="1"/>
  <c r="F187" i="3"/>
  <c r="D187" i="3"/>
  <c r="B187" i="3"/>
  <c r="C187" i="3"/>
  <c r="E187" i="3"/>
  <c r="A189" i="3" l="1"/>
  <c r="F188" i="3"/>
  <c r="C188" i="3"/>
  <c r="D188" i="3"/>
  <c r="B188" i="3"/>
  <c r="E188" i="3"/>
  <c r="A190" i="3" l="1"/>
  <c r="F189" i="3"/>
  <c r="B189" i="3"/>
  <c r="C189" i="3"/>
  <c r="E189" i="3"/>
  <c r="D189" i="3"/>
  <c r="A191" i="3" l="1"/>
  <c r="F190" i="3"/>
  <c r="C190" i="3"/>
  <c r="B190" i="3"/>
  <c r="E190" i="3"/>
  <c r="D190" i="3"/>
  <c r="A192" i="3" l="1"/>
  <c r="F191" i="3"/>
  <c r="C191" i="3"/>
  <c r="B191" i="3"/>
  <c r="D191" i="3"/>
  <c r="E191" i="3"/>
  <c r="A193" i="3" l="1"/>
  <c r="F192" i="3"/>
  <c r="E192" i="3"/>
  <c r="C192" i="3"/>
  <c r="B192" i="3"/>
  <c r="D192" i="3"/>
  <c r="A194" i="3" l="1"/>
  <c r="F193" i="3"/>
  <c r="E193" i="3"/>
  <c r="B193" i="3"/>
  <c r="C193" i="3"/>
  <c r="D193" i="3"/>
  <c r="A195" i="3" l="1"/>
  <c r="F194" i="3"/>
  <c r="B194" i="3"/>
  <c r="E194" i="3"/>
  <c r="C194" i="3"/>
  <c r="D194" i="3"/>
  <c r="A196" i="3" l="1"/>
  <c r="F195" i="3"/>
  <c r="B195" i="3"/>
  <c r="E195" i="3"/>
  <c r="D195" i="3"/>
  <c r="C195" i="3"/>
  <c r="A197" i="3" l="1"/>
  <c r="F196" i="3"/>
  <c r="B196" i="3"/>
  <c r="E196" i="3"/>
  <c r="C196" i="3"/>
  <c r="D196" i="3"/>
  <c r="A198" i="3" l="1"/>
  <c r="F197" i="3"/>
  <c r="E197" i="3"/>
  <c r="D197" i="3"/>
  <c r="B197" i="3"/>
  <c r="C197" i="3"/>
  <c r="A199" i="3" l="1"/>
  <c r="F198" i="3"/>
  <c r="E198" i="3"/>
  <c r="B198" i="3"/>
  <c r="D198" i="3"/>
  <c r="C198" i="3"/>
  <c r="A200" i="3" l="1"/>
  <c r="F199" i="3"/>
  <c r="C199" i="3"/>
  <c r="B199" i="3"/>
  <c r="E199" i="3"/>
  <c r="D199" i="3"/>
  <c r="A201" i="3" l="1"/>
  <c r="F200" i="3"/>
  <c r="B200" i="3"/>
  <c r="E200" i="3"/>
  <c r="C200" i="3"/>
  <c r="D200" i="3"/>
  <c r="A202" i="3" l="1"/>
  <c r="F201" i="3"/>
  <c r="E201" i="3"/>
  <c r="C201" i="3"/>
  <c r="B201" i="3"/>
  <c r="D201" i="3"/>
  <c r="F202" i="3" l="1"/>
  <c r="C202" i="3"/>
  <c r="B202" i="3"/>
  <c r="E202" i="3"/>
  <c r="D20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<sst xmlns="http://schemas.openxmlformats.org/spreadsheetml/2006/main" count="137" uniqueCount="111">
  <si>
    <t>eta</t>
  </si>
  <si>
    <t>b</t>
  </si>
  <si>
    <t>Cov</t>
  </si>
  <si>
    <t>Gini</t>
  </si>
  <si>
    <t>Data for Density Plot with Mean 1 and various Gini coefficients</t>
  </si>
  <si>
    <t>x</t>
  </si>
  <si>
    <t>Eta</t>
  </si>
  <si>
    <t>Density</t>
  </si>
  <si>
    <t>Check Cov</t>
  </si>
  <si>
    <t>Skew</t>
  </si>
  <si>
    <t>Kurt</t>
  </si>
  <si>
    <t>Apery</t>
  </si>
  <si>
    <t>Lskew</t>
  </si>
  <si>
    <t>Lkurt</t>
  </si>
  <si>
    <t>Data for Lorenz Curves</t>
  </si>
  <si>
    <t>mode</t>
  </si>
  <si>
    <t>median</t>
  </si>
  <si>
    <t>esm3</t>
  </si>
  <si>
    <t>esm2</t>
  </si>
  <si>
    <t>mh2</t>
  </si>
  <si>
    <t>mh3</t>
  </si>
  <si>
    <t>mean</t>
  </si>
  <si>
    <t>mackle</t>
  </si>
  <si>
    <t>IdLower</t>
  </si>
  <si>
    <t>IdUpper</t>
  </si>
  <si>
    <t>Strength</t>
  </si>
  <si>
    <t>Attributes Relative to Mean</t>
  </si>
  <si>
    <t>Shorter table</t>
  </si>
  <si>
    <t>Gompertz Functions Spreadsheet</t>
  </si>
  <si>
    <t>© 2025 Andrew D Smith ansmith@ucd.ie</t>
  </si>
  <si>
    <t>This spreadsheet contains VBA macros associated with Gompertz distribution, together with examples of their use.</t>
  </si>
  <si>
    <t>Key functions are:</t>
  </si>
  <si>
    <t xml:space="preserve">GompMean(GompEta, algorithm) </t>
  </si>
  <si>
    <t>GompMSkew(GompEta, algorithm)</t>
  </si>
  <si>
    <t>GompMKurt(GompEta, algorithm)</t>
  </si>
  <si>
    <t>GompGini(GompEta, algorithm) As Double</t>
  </si>
  <si>
    <t>GompLSkew(GompEta, algorithm) As Double</t>
  </si>
  <si>
    <t>GompLKurt(GompEta, algorithm)</t>
  </si>
  <si>
    <t>GompEtafromSurvival(t1, t2, p1, p2)</t>
  </si>
  <si>
    <t>GompEtafromCoV(CoVtarget</t>
  </si>
  <si>
    <t xml:space="preserve">GompEtafromGini(Ginitarget) </t>
  </si>
  <si>
    <t>CriticalEta(IdLower, IdUpper)</t>
  </si>
  <si>
    <t>The algorithm can be 0, 1 or 2. Algorithm 1 applies for small eta, algorithm 2 for large eta, and algorithm 0  picks the best of 1 or 2.</t>
  </si>
  <si>
    <t>Mean of Gompertz distributon with shape parameter GompEta and scale parameter b = 1</t>
  </si>
  <si>
    <t>GompCov(GompEta, algorithm) As Double</t>
  </si>
  <si>
    <t>Coefficient of variation</t>
  </si>
  <si>
    <t>Moment excess kurtosis</t>
  </si>
  <si>
    <t>Gini coeffiicient</t>
  </si>
  <si>
    <t>L-moment skewness</t>
  </si>
  <si>
    <t>Moment skewness</t>
  </si>
  <si>
    <t>L-moment kurtosis</t>
  </si>
  <si>
    <t>Eta calculated from two points (t1, p1) and (t2, p2) on the survival function</t>
  </si>
  <si>
    <t>Eta calculated from the Coefficient of Variation; inverse function of GompCov</t>
  </si>
  <si>
    <t>Critical value of eta at which location(IdLower) and location(IdUpper) cross over</t>
  </si>
  <si>
    <t>CDF</t>
  </si>
  <si>
    <t>Forward start eta parameter = eta0 * exp(b * age)</t>
  </si>
  <si>
    <t>Expected lifetime from age …</t>
  </si>
  <si>
    <t>Lorenz curve</t>
  </si>
  <si>
    <t>Lives lived  = prob survival * mean life</t>
  </si>
  <si>
    <t>Moment based shape functions</t>
  </si>
  <si>
    <t>L-moment based shape functions</t>
  </si>
  <si>
    <t>64ths</t>
  </si>
  <si>
    <t>trans to [0,∞)</t>
  </si>
  <si>
    <t>Based on https://www.actuarieelgenootschap.nl/kennisbank/projections-life-table-ag2024-1</t>
  </si>
  <si>
    <t>Age</t>
  </si>
  <si>
    <t>Year of birth (cohort tables)</t>
  </si>
  <si>
    <t>Period table</t>
  </si>
  <si>
    <t>ln l(100</t>
  </si>
  <si>
    <t>ln l(110)</t>
  </si>
  <si>
    <t>ln l(120)</t>
  </si>
  <si>
    <t>diffs</t>
  </si>
  <si>
    <t>e^10b</t>
  </si>
  <si>
    <t>a</t>
  </si>
  <si>
    <t>Gompertz extrapolation from ages 100, 110, 120</t>
  </si>
  <si>
    <t>Number of lives lx by compounding qx from original tables</t>
  </si>
  <si>
    <t>Number of lives lx extended to age 150 by Gompertz</t>
  </si>
  <si>
    <t>lx</t>
  </si>
  <si>
    <t>Future lives lived Tx</t>
  </si>
  <si>
    <t>Tx</t>
  </si>
  <si>
    <t>Future squared lives lived TTx</t>
  </si>
  <si>
    <t>TTx</t>
  </si>
  <si>
    <t>Fatigue Rate bx</t>
  </si>
  <si>
    <t>Integral Sx of Tx</t>
  </si>
  <si>
    <t>All Location Crossover Points</t>
  </si>
  <si>
    <t>CoV</t>
  </si>
  <si>
    <t>Sx</t>
  </si>
  <si>
    <t>Life expectancy</t>
  </si>
  <si>
    <t>Gini Coefficient</t>
  </si>
  <si>
    <t>Coefficent of Variation</t>
  </si>
  <si>
    <t>Life Expectancy</t>
  </si>
  <si>
    <t>Year of birth (cohort table)</t>
  </si>
  <si>
    <t>Female age x</t>
  </si>
  <si>
    <t>Coefficient of Variation</t>
  </si>
  <si>
    <t>Eta parameter implied from Gini Coefficient</t>
  </si>
  <si>
    <t>Eta parameter implied from Coefficient of Variation</t>
  </si>
  <si>
    <t>Fatigue parameter b implied from Gini Coefficient</t>
  </si>
  <si>
    <t xml:space="preserve">Modal Age at Death implied from Gini Coefficient </t>
  </si>
  <si>
    <t>Fatigue parameter b implied from Coefficient of Variation</t>
  </si>
  <si>
    <t>Modal Age at Death implied from Coefficient of Variation</t>
  </si>
  <si>
    <t>Loc 1</t>
  </si>
  <si>
    <t>Loc 2</t>
  </si>
  <si>
    <t>Crossover Points Sorted by Shape Parameter</t>
  </si>
  <si>
    <t>Implied Parameters from AG2024 (F) for various years of birth and attained ages</t>
  </si>
  <si>
    <t>You must enable macros in your security setting for these to work.</t>
  </si>
  <si>
    <t>Table AG2024 Females</t>
  </si>
  <si>
    <t>Moments, L-Moments, other Location Parameters and Crossovers</t>
  </si>
  <si>
    <t>Location Attributes as Functions of eta</t>
  </si>
  <si>
    <t>Mean for Plotting</t>
  </si>
  <si>
    <t>Age at death (inverse CDF)</t>
  </si>
  <si>
    <t>Educational purposes only. No warranty implied. Use at own risk. I accept no liability for any errors.</t>
  </si>
  <si>
    <t>Eta calculated from the Gini Coefficient; inverse function of GompGini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</si>
</sst>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ourier New"/>
      <family val="3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0" fontId="3" fillId="0" borderId="0" xfId="0" quotePrefix="1" applyFont="1"/>
    <xf numFmtId="0" fontId="0" fillId="0" borderId="0" xfId="0" applyAlignment="1">
      <alignment horizontal="right"/>
    </xf>
    <xf numFmtId="1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7.xml"/><Relationship Id="rId13" Type="http://schemas.openxmlformats.org/officeDocument/2006/relationships/worksheet" Target="worksheets/sheet5.xml"/><Relationship Id="rId18" Type="http://schemas.openxmlformats.org/officeDocument/2006/relationships/calcChain" Target="calcChain.xml"/><Relationship Id="rId3" Type="http://schemas.openxmlformats.org/officeDocument/2006/relationships/chartsheet" Target="chartsheets/sheet2.xml"/><Relationship Id="rId21" Type="http://schemas.openxmlformats.org/officeDocument/2006/relationships/customXml" Target="../customXml/item3.xml"/><Relationship Id="rId7" Type="http://schemas.openxmlformats.org/officeDocument/2006/relationships/chartsheet" Target="chartsheets/sheet6.xml"/><Relationship Id="rId12" Type="http://schemas.openxmlformats.org/officeDocument/2006/relationships/worksheet" Target="worksheets/sheet4.xml"/><Relationship Id="rId17" Type="http://schemas.openxmlformats.org/officeDocument/2006/relationships/sheetMetadata" Target="metadata.xml"/><Relationship Id="rId2" Type="http://schemas.openxmlformats.org/officeDocument/2006/relationships/chartsheet" Target="chartsheets/sheet1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worksheet" Target="worksheets/sheet3.xml"/><Relationship Id="rId5" Type="http://schemas.openxmlformats.org/officeDocument/2006/relationships/chartsheet" Target="chartsheets/sheet4.xml"/><Relationship Id="rId15" Type="http://schemas.openxmlformats.org/officeDocument/2006/relationships/styles" Target="styles.xml"/><Relationship Id="rId10" Type="http://schemas.openxmlformats.org/officeDocument/2006/relationships/worksheet" Target="worksheets/sheet2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8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314717206527302E-2"/>
          <c:y val="3.0971512028467495E-2"/>
          <c:w val="0.88408606555036851"/>
          <c:h val="0.85319384067424686"/>
        </c:manualLayout>
      </c:layout>
      <c:scatterChart>
        <c:scatterStyle val="lineMarker"/>
        <c:varyColors val="0"/>
        <c:ser>
          <c:idx val="0"/>
          <c:order val="0"/>
          <c:tx>
            <c:v>Gini = 0.1, η = 0.000572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DensLorenzDat!$A$10:$A$202</c:f>
              <c:numCache>
                <c:formatCode>General</c:formatCode>
                <c:ptCount val="193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  <c:pt idx="65">
                  <c:v>1.015625</c:v>
                </c:pt>
                <c:pt idx="66">
                  <c:v>1.03125</c:v>
                </c:pt>
                <c:pt idx="67">
                  <c:v>1.046875</c:v>
                </c:pt>
                <c:pt idx="68">
                  <c:v>1.0625</c:v>
                </c:pt>
                <c:pt idx="69">
                  <c:v>1.078125</c:v>
                </c:pt>
                <c:pt idx="70">
                  <c:v>1.09375</c:v>
                </c:pt>
                <c:pt idx="71">
                  <c:v>1.109375</c:v>
                </c:pt>
                <c:pt idx="72">
                  <c:v>1.125</c:v>
                </c:pt>
                <c:pt idx="73">
                  <c:v>1.140625</c:v>
                </c:pt>
                <c:pt idx="74">
                  <c:v>1.15625</c:v>
                </c:pt>
                <c:pt idx="75">
                  <c:v>1.171875</c:v>
                </c:pt>
                <c:pt idx="76">
                  <c:v>1.1875</c:v>
                </c:pt>
                <c:pt idx="77">
                  <c:v>1.203125</c:v>
                </c:pt>
                <c:pt idx="78">
                  <c:v>1.21875</c:v>
                </c:pt>
                <c:pt idx="79">
                  <c:v>1.234375</c:v>
                </c:pt>
                <c:pt idx="80">
                  <c:v>1.25</c:v>
                </c:pt>
                <c:pt idx="81">
                  <c:v>1.265625</c:v>
                </c:pt>
                <c:pt idx="82">
                  <c:v>1.28125</c:v>
                </c:pt>
                <c:pt idx="83">
                  <c:v>1.296875</c:v>
                </c:pt>
                <c:pt idx="84">
                  <c:v>1.3125</c:v>
                </c:pt>
                <c:pt idx="85">
                  <c:v>1.328125</c:v>
                </c:pt>
                <c:pt idx="86">
                  <c:v>1.34375</c:v>
                </c:pt>
                <c:pt idx="87">
                  <c:v>1.359375</c:v>
                </c:pt>
                <c:pt idx="88">
                  <c:v>1.375</c:v>
                </c:pt>
                <c:pt idx="89">
                  <c:v>1.390625</c:v>
                </c:pt>
                <c:pt idx="90">
                  <c:v>1.40625</c:v>
                </c:pt>
                <c:pt idx="91">
                  <c:v>1.421875</c:v>
                </c:pt>
                <c:pt idx="92">
                  <c:v>1.4375</c:v>
                </c:pt>
                <c:pt idx="93">
                  <c:v>1.453125</c:v>
                </c:pt>
                <c:pt idx="94">
                  <c:v>1.46875</c:v>
                </c:pt>
                <c:pt idx="95">
                  <c:v>1.484375</c:v>
                </c:pt>
                <c:pt idx="96">
                  <c:v>1.5</c:v>
                </c:pt>
                <c:pt idx="97">
                  <c:v>1.515625</c:v>
                </c:pt>
                <c:pt idx="98">
                  <c:v>1.53125</c:v>
                </c:pt>
                <c:pt idx="99">
                  <c:v>1.546875</c:v>
                </c:pt>
                <c:pt idx="100">
                  <c:v>1.5625</c:v>
                </c:pt>
                <c:pt idx="101">
                  <c:v>1.578125</c:v>
                </c:pt>
                <c:pt idx="102">
                  <c:v>1.59375</c:v>
                </c:pt>
                <c:pt idx="103">
                  <c:v>1.609375</c:v>
                </c:pt>
                <c:pt idx="104">
                  <c:v>1.625</c:v>
                </c:pt>
                <c:pt idx="105">
                  <c:v>1.640625</c:v>
                </c:pt>
                <c:pt idx="106">
                  <c:v>1.65625</c:v>
                </c:pt>
                <c:pt idx="107">
                  <c:v>1.671875</c:v>
                </c:pt>
                <c:pt idx="108">
                  <c:v>1.6875</c:v>
                </c:pt>
                <c:pt idx="109">
                  <c:v>1.703125</c:v>
                </c:pt>
                <c:pt idx="110">
                  <c:v>1.71875</c:v>
                </c:pt>
                <c:pt idx="111">
                  <c:v>1.734375</c:v>
                </c:pt>
                <c:pt idx="112">
                  <c:v>1.75</c:v>
                </c:pt>
                <c:pt idx="113">
                  <c:v>1.765625</c:v>
                </c:pt>
                <c:pt idx="114">
                  <c:v>1.78125</c:v>
                </c:pt>
                <c:pt idx="115">
                  <c:v>1.796875</c:v>
                </c:pt>
                <c:pt idx="116">
                  <c:v>1.8125</c:v>
                </c:pt>
                <c:pt idx="117">
                  <c:v>1.828125</c:v>
                </c:pt>
                <c:pt idx="118">
                  <c:v>1.84375</c:v>
                </c:pt>
                <c:pt idx="119">
                  <c:v>1.859375</c:v>
                </c:pt>
                <c:pt idx="120">
                  <c:v>1.875</c:v>
                </c:pt>
                <c:pt idx="121">
                  <c:v>1.890625</c:v>
                </c:pt>
                <c:pt idx="122">
                  <c:v>1.90625</c:v>
                </c:pt>
                <c:pt idx="123">
                  <c:v>1.921875</c:v>
                </c:pt>
                <c:pt idx="124">
                  <c:v>1.9375</c:v>
                </c:pt>
                <c:pt idx="125">
                  <c:v>1.953125</c:v>
                </c:pt>
                <c:pt idx="126">
                  <c:v>1.96875</c:v>
                </c:pt>
                <c:pt idx="127">
                  <c:v>1.984375</c:v>
                </c:pt>
                <c:pt idx="128">
                  <c:v>2</c:v>
                </c:pt>
                <c:pt idx="129">
                  <c:v>2.015625</c:v>
                </c:pt>
                <c:pt idx="130">
                  <c:v>2.03125</c:v>
                </c:pt>
                <c:pt idx="131">
                  <c:v>2.046875</c:v>
                </c:pt>
                <c:pt idx="132">
                  <c:v>2.0625</c:v>
                </c:pt>
                <c:pt idx="133">
                  <c:v>2.078125</c:v>
                </c:pt>
                <c:pt idx="134">
                  <c:v>2.09375</c:v>
                </c:pt>
                <c:pt idx="135">
                  <c:v>2.109375</c:v>
                </c:pt>
                <c:pt idx="136">
                  <c:v>2.125</c:v>
                </c:pt>
                <c:pt idx="137">
                  <c:v>2.140625</c:v>
                </c:pt>
                <c:pt idx="138">
                  <c:v>2.15625</c:v>
                </c:pt>
                <c:pt idx="139">
                  <c:v>2.171875</c:v>
                </c:pt>
                <c:pt idx="140">
                  <c:v>2.1875</c:v>
                </c:pt>
                <c:pt idx="141">
                  <c:v>2.203125</c:v>
                </c:pt>
                <c:pt idx="142">
                  <c:v>2.21875</c:v>
                </c:pt>
                <c:pt idx="143">
                  <c:v>2.234375</c:v>
                </c:pt>
                <c:pt idx="144">
                  <c:v>2.25</c:v>
                </c:pt>
                <c:pt idx="145">
                  <c:v>2.265625</c:v>
                </c:pt>
                <c:pt idx="146">
                  <c:v>2.28125</c:v>
                </c:pt>
                <c:pt idx="147">
                  <c:v>2.296875</c:v>
                </c:pt>
                <c:pt idx="148">
                  <c:v>2.3125</c:v>
                </c:pt>
                <c:pt idx="149">
                  <c:v>2.328125</c:v>
                </c:pt>
                <c:pt idx="150">
                  <c:v>2.34375</c:v>
                </c:pt>
                <c:pt idx="151">
                  <c:v>2.359375</c:v>
                </c:pt>
                <c:pt idx="152">
                  <c:v>2.375</c:v>
                </c:pt>
                <c:pt idx="153">
                  <c:v>2.390625</c:v>
                </c:pt>
                <c:pt idx="154">
                  <c:v>2.40625</c:v>
                </c:pt>
                <c:pt idx="155">
                  <c:v>2.421875</c:v>
                </c:pt>
                <c:pt idx="156">
                  <c:v>2.4375</c:v>
                </c:pt>
                <c:pt idx="157">
                  <c:v>2.453125</c:v>
                </c:pt>
                <c:pt idx="158">
                  <c:v>2.46875</c:v>
                </c:pt>
                <c:pt idx="159">
                  <c:v>2.484375</c:v>
                </c:pt>
                <c:pt idx="160">
                  <c:v>2.5</c:v>
                </c:pt>
                <c:pt idx="161">
                  <c:v>2.515625</c:v>
                </c:pt>
                <c:pt idx="162">
                  <c:v>2.53125</c:v>
                </c:pt>
                <c:pt idx="163">
                  <c:v>2.546875</c:v>
                </c:pt>
                <c:pt idx="164">
                  <c:v>2.5625</c:v>
                </c:pt>
                <c:pt idx="165">
                  <c:v>2.578125</c:v>
                </c:pt>
                <c:pt idx="166">
                  <c:v>2.59375</c:v>
                </c:pt>
                <c:pt idx="167">
                  <c:v>2.609375</c:v>
                </c:pt>
                <c:pt idx="168">
                  <c:v>2.625</c:v>
                </c:pt>
                <c:pt idx="169">
                  <c:v>2.640625</c:v>
                </c:pt>
                <c:pt idx="170">
                  <c:v>2.65625</c:v>
                </c:pt>
                <c:pt idx="171">
                  <c:v>2.671875</c:v>
                </c:pt>
                <c:pt idx="172">
                  <c:v>2.6875</c:v>
                </c:pt>
                <c:pt idx="173">
                  <c:v>2.703125</c:v>
                </c:pt>
                <c:pt idx="174">
                  <c:v>2.71875</c:v>
                </c:pt>
                <c:pt idx="175">
                  <c:v>2.734375</c:v>
                </c:pt>
                <c:pt idx="176">
                  <c:v>2.75</c:v>
                </c:pt>
                <c:pt idx="177">
                  <c:v>2.765625</c:v>
                </c:pt>
                <c:pt idx="178">
                  <c:v>2.78125</c:v>
                </c:pt>
                <c:pt idx="179">
                  <c:v>2.796875</c:v>
                </c:pt>
                <c:pt idx="180">
                  <c:v>2.8125</c:v>
                </c:pt>
                <c:pt idx="181">
                  <c:v>2.828125</c:v>
                </c:pt>
                <c:pt idx="182">
                  <c:v>2.84375</c:v>
                </c:pt>
                <c:pt idx="183">
                  <c:v>2.859375</c:v>
                </c:pt>
                <c:pt idx="184">
                  <c:v>2.875</c:v>
                </c:pt>
                <c:pt idx="185">
                  <c:v>2.890625</c:v>
                </c:pt>
                <c:pt idx="186">
                  <c:v>2.90625</c:v>
                </c:pt>
                <c:pt idx="187">
                  <c:v>2.921875</c:v>
                </c:pt>
                <c:pt idx="188">
                  <c:v>2.9375</c:v>
                </c:pt>
                <c:pt idx="189">
                  <c:v>2.953125</c:v>
                </c:pt>
                <c:pt idx="190">
                  <c:v>2.96875</c:v>
                </c:pt>
                <c:pt idx="191">
                  <c:v>2.984375</c:v>
                </c:pt>
                <c:pt idx="192">
                  <c:v>3</c:v>
                </c:pt>
              </c:numCache>
            </c:numRef>
          </c:xVal>
          <c:yVal>
            <c:numRef>
              <c:f>DensLorenzDat!$B$10:$B$202</c:f>
              <c:numCache>
                <c:formatCode>General</c:formatCode>
                <c:ptCount val="193"/>
                <c:pt idx="0">
                  <c:v>3.9411898690564304E-3</c:v>
                </c:pt>
                <c:pt idx="1">
                  <c:v>4.3891712427060791E-3</c:v>
                </c:pt>
                <c:pt idx="2">
                  <c:v>4.8880369554440903E-3</c:v>
                </c:pt>
                <c:pt idx="3">
                  <c:v>5.4435580577696738E-3</c:v>
                </c:pt>
                <c:pt idx="4">
                  <c:v>6.0621580347701085E-3</c:v>
                </c:pt>
                <c:pt idx="5">
                  <c:v>6.7509860629870215E-3</c:v>
                </c:pt>
                <c:pt idx="6">
                  <c:v>7.5179983714766824E-3</c:v>
                </c:pt>
                <c:pt idx="7">
                  <c:v>8.3720485742168112E-3</c:v>
                </c:pt>
                <c:pt idx="8">
                  <c:v>9.3229879265870515E-3</c:v>
                </c:pt>
                <c:pt idx="9">
                  <c:v>1.0381776550848034E-2</c:v>
                </c:pt>
                <c:pt idx="10">
                  <c:v>1.1560606774381305E-2</c:v>
                </c:pt>
                <c:pt idx="11">
                  <c:v>1.2873039829774576E-2</c:v>
                </c:pt>
                <c:pt idx="12">
                  <c:v>1.4334157277258163E-2</c:v>
                </c:pt>
                <c:pt idx="13">
                  <c:v>1.596072862682793E-2</c:v>
                </c:pt>
                <c:pt idx="14">
                  <c:v>1.7771396758534817E-2</c:v>
                </c:pt>
                <c:pt idx="15">
                  <c:v>1.9786882863269083E-2</c:v>
                </c:pt>
                <c:pt idx="16">
                  <c:v>2.2030212750637861E-2</c:v>
                </c:pt>
                <c:pt idx="17">
                  <c:v>2.4526966492092926E-2</c:v>
                </c:pt>
                <c:pt idx="18">
                  <c:v>2.730555348209519E-2</c:v>
                </c:pt>
                <c:pt idx="19">
                  <c:v>3.0397515102219618E-2</c:v>
                </c:pt>
                <c:pt idx="20">
                  <c:v>3.3837857255412482E-2</c:v>
                </c:pt>
                <c:pt idx="21">
                  <c:v>3.7665415090673567E-2</c:v>
                </c:pt>
                <c:pt idx="22">
                  <c:v>4.1923252250148445E-2</c:v>
                </c:pt>
                <c:pt idx="23">
                  <c:v>4.6659096925586847E-2</c:v>
                </c:pt>
                <c:pt idx="24">
                  <c:v>5.1925816889897392E-2</c:v>
                </c:pt>
                <c:pt idx="25">
                  <c:v>5.77819354476755E-2</c:v>
                </c:pt>
                <c:pt idx="26">
                  <c:v>6.4292189895593127E-2</c:v>
                </c:pt>
                <c:pt idx="27">
                  <c:v>7.1528133561531815E-2</c:v>
                </c:pt>
                <c:pt idx="28">
                  <c:v>7.9568781753526954E-2</c:v>
                </c:pt>
                <c:pt idx="29">
                  <c:v>8.8501300938496175E-2</c:v>
                </c:pt>
                <c:pt idx="30">
                  <c:v>9.8421739116151791E-2</c:v>
                </c:pt>
                <c:pt idx="31">
                  <c:v>0.10943579357021498</c:v>
                </c:pt>
                <c:pt idx="32">
                  <c:v>0.12165960986423231</c:v>
                </c:pt>
                <c:pt idx="33">
                  <c:v>0.13522060297979488</c:v>
                </c:pt>
                <c:pt idx="34">
                  <c:v>0.15025828772443178</c:v>
                </c:pt>
                <c:pt idx="35">
                  <c:v>0.16692510079263434</c:v>
                </c:pt>
                <c:pt idx="36">
                  <c:v>0.18538719094575851</c:v>
                </c:pt>
                <c:pt idx="37">
                  <c:v>0.20582514645442385</c:v>
                </c:pt>
                <c:pt idx="38">
                  <c:v>0.22843461995984121</c:v>
                </c:pt>
                <c:pt idx="39">
                  <c:v>0.25342679996966916</c:v>
                </c:pt>
                <c:pt idx="40">
                  <c:v>0.28102866499876039</c:v>
                </c:pt>
                <c:pt idx="41">
                  <c:v>0.31148294057371684</c:v>
                </c:pt>
                <c:pt idx="42">
                  <c:v>0.34504766062867959</c:v>
                </c:pt>
                <c:pt idx="43">
                  <c:v>0.3819952129521052</c:v>
                </c:pt>
                <c:pt idx="44">
                  <c:v>0.42261072310709852</c:v>
                </c:pt>
                <c:pt idx="45">
                  <c:v>0.46718960259571779</c:v>
                </c:pt>
                <c:pt idx="46">
                  <c:v>0.51603405516508627</c:v>
                </c:pt>
                <c:pt idx="47">
                  <c:v>0.56944830062092633</c:v>
                </c:pt>
                <c:pt idx="48">
                  <c:v>0.62773223941900635</c:v>
                </c:pt>
                <c:pt idx="49">
                  <c:v>0.6911732455011339</c:v>
                </c:pt>
                <c:pt idx="50">
                  <c:v>0.76003574222415848</c:v>
                </c:pt>
                <c:pt idx="51">
                  <c:v>0.83454819108084155</c:v>
                </c:pt>
                <c:pt idx="52">
                  <c:v>0.91488711131612721</c:v>
                </c:pt>
                <c:pt idx="53">
                  <c:v>1.0011577588567016</c:v>
                </c:pt>
                <c:pt idx="54">
                  <c:v>1.0933711363079175</c:v>
                </c:pt>
                <c:pt idx="55">
                  <c:v>1.1914170964436783</c:v>
                </c:pt>
                <c:pt idx="56">
                  <c:v>1.2950334574262603</c:v>
                </c:pt>
                <c:pt idx="57">
                  <c:v>1.4037712902016353</c:v>
                </c:pt>
                <c:pt idx="58">
                  <c:v>1.5169568911996636</c:v>
                </c:pt>
                <c:pt idx="59">
                  <c:v>1.6336514419313428</c:v>
                </c:pt>
                <c:pt idx="60">
                  <c:v>1.7526100047958704</c:v>
                </c:pt>
                <c:pt idx="61">
                  <c:v>1.8722423279336202</c:v>
                </c:pt>
                <c:pt idx="62">
                  <c:v>1.9905789330690002</c:v>
                </c:pt>
                <c:pt idx="63">
                  <c:v>2.1052471148548602</c:v>
                </c:pt>
                <c:pt idx="64">
                  <c:v>2.2134627234875275</c:v>
                </c:pt>
                <c:pt idx="65">
                  <c:v>2.3120448110031799</c:v>
                </c:pt>
                <c:pt idx="66">
                  <c:v>2.397461194592597</c:v>
                </c:pt>
                <c:pt idx="67">
                  <c:v>2.4659134319040765</c:v>
                </c:pt>
                <c:pt idx="68">
                  <c:v>2.5134692165058459</c:v>
                </c:pt>
                <c:pt idx="69">
                  <c:v>2.5362483011508972</c:v>
                </c:pt>
                <c:pt idx="70">
                  <c:v>2.530664217391041</c:v>
                </c:pt>
                <c:pt idx="71">
                  <c:v>2.4937178188717795</c:v>
                </c:pt>
                <c:pt idx="72">
                  <c:v>2.423329797682225</c:v>
                </c:pt>
                <c:pt idx="73">
                  <c:v>2.3186880405086225</c:v>
                </c:pt>
                <c:pt idx="74">
                  <c:v>2.1805729888079322</c:v>
                </c:pt>
                <c:pt idx="75">
                  <c:v>2.0116120518802281</c:v>
                </c:pt>
                <c:pt idx="76">
                  <c:v>1.8164057541218868</c:v>
                </c:pt>
                <c:pt idx="77">
                  <c:v>1.601467804364328</c:v>
                </c:pt>
                <c:pt idx="78">
                  <c:v>1.3749330381125291</c:v>
                </c:pt>
                <c:pt idx="79">
                  <c:v>1.1460144669786234</c:v>
                </c:pt>
                <c:pt idx="80">
                  <c:v>0.92423365700875193</c:v>
                </c:pt>
                <c:pt idx="81">
                  <c:v>0.71850236316821181</c:v>
                </c:pt>
                <c:pt idx="82">
                  <c:v>0.5361863657641297</c:v>
                </c:pt>
                <c:pt idx="83">
                  <c:v>0.38231787458149313</c:v>
                </c:pt>
                <c:pt idx="84">
                  <c:v>0.2591224845508458</c:v>
                </c:pt>
                <c:pt idx="85">
                  <c:v>0.16597847668153121</c:v>
                </c:pt>
                <c:pt idx="86">
                  <c:v>9.9833012880087862E-2</c:v>
                </c:pt>
                <c:pt idx="87">
                  <c:v>5.5984071026803098E-2</c:v>
                </c:pt>
                <c:pt idx="88">
                  <c:v>2.9037642453309448E-2</c:v>
                </c:pt>
                <c:pt idx="89">
                  <c:v>1.3807333278310503E-2</c:v>
                </c:pt>
                <c:pt idx="90">
                  <c:v>5.9595898790061339E-3</c:v>
                </c:pt>
                <c:pt idx="91">
                  <c:v>2.3094004792530896E-3</c:v>
                </c:pt>
                <c:pt idx="92">
                  <c:v>7.9365684108101181E-4</c:v>
                </c:pt>
                <c:pt idx="93">
                  <c:v>2.3860827318282547E-4</c:v>
                </c:pt>
                <c:pt idx="94">
                  <c:v>6.1808955728035925E-5</c:v>
                </c:pt>
                <c:pt idx="95">
                  <c:v>1.3563540806399307E-5</c:v>
                </c:pt>
                <c:pt idx="96">
                  <c:v>2.4743223548834572E-6</c:v>
                </c:pt>
                <c:pt idx="97">
                  <c:v>3.6743013216510949E-7</c:v>
                </c:pt>
                <c:pt idx="98">
                  <c:v>4.3387467459578005E-8</c:v>
                </c:pt>
                <c:pt idx="99">
                  <c:v>3.9692143821848576E-9</c:v>
                </c:pt>
                <c:pt idx="100">
                  <c:v>2.7326729357212809E-10</c:v>
                </c:pt>
                <c:pt idx="101">
                  <c:v>1.3707924770572771E-11</c:v>
                </c:pt>
                <c:pt idx="102">
                  <c:v>4.8330104137121886E-13</c:v>
                </c:pt>
                <c:pt idx="103">
                  <c:v>1.1505565065608787E-14</c:v>
                </c:pt>
                <c:pt idx="104">
                  <c:v>1.768656693059417E-16</c:v>
                </c:pt>
                <c:pt idx="105">
                  <c:v>1.6703952998201908E-18</c:v>
                </c:pt>
                <c:pt idx="106">
                  <c:v>9.1700670005372365E-21</c:v>
                </c:pt>
                <c:pt idx="107">
                  <c:v>2.751083930708524E-23</c:v>
                </c:pt>
                <c:pt idx="108">
                  <c:v>4.2108101564196731E-26</c:v>
                </c:pt>
                <c:pt idx="109">
                  <c:v>3.0458993535544369E-29</c:v>
                </c:pt>
                <c:pt idx="110">
                  <c:v>9.5615900112117616E-33</c:v>
                </c:pt>
                <c:pt idx="111">
                  <c:v>1.184608883597934E-36</c:v>
                </c:pt>
                <c:pt idx="112">
                  <c:v>5.2110568609431906E-41</c:v>
                </c:pt>
                <c:pt idx="113">
                  <c:v>7.2349389985517069E-46</c:v>
                </c:pt>
                <c:pt idx="114">
                  <c:v>2.7805900055806165E-51</c:v>
                </c:pt>
                <c:pt idx="115">
                  <c:v>2.5561579565148309E-57</c:v>
                </c:pt>
                <c:pt idx="116">
                  <c:v>4.7766848771666855E-64</c:v>
                </c:pt>
                <c:pt idx="117">
                  <c:v>1.5137576471992842E-71</c:v>
                </c:pt>
                <c:pt idx="118">
                  <c:v>6.648576868132896E-80</c:v>
                </c:pt>
                <c:pt idx="119">
                  <c:v>3.232409191020584E-89</c:v>
                </c:pt>
                <c:pt idx="120">
                  <c:v>1.3543443116826153E-99</c:v>
                </c:pt>
                <c:pt idx="121">
                  <c:v>3.7004203708178688E-111</c:v>
                </c:pt>
                <c:pt idx="122">
                  <c:v>4.8331934693447245E-124</c:v>
                </c:pt>
                <c:pt idx="123">
                  <c:v>2.1354123267964901E-138</c:v>
                </c:pt>
                <c:pt idx="124">
                  <c:v>2.1712701048817449E-154</c:v>
                </c:pt>
                <c:pt idx="125">
                  <c:v>3.3084483284187746E-172</c:v>
                </c:pt>
                <c:pt idx="126">
                  <c:v>4.6850782117626564E-192</c:v>
                </c:pt>
                <c:pt idx="127">
                  <c:v>3.6215500181354191E-214</c:v>
                </c:pt>
                <c:pt idx="128">
                  <c:v>8.4484247783939688E-239</c:v>
                </c:pt>
                <c:pt idx="129">
                  <c:v>3.0740063536655492E-266</c:v>
                </c:pt>
                <c:pt idx="130">
                  <c:v>8.3641491042241602E-297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03-4AFE-A35E-761EE751A948}"/>
            </c:ext>
          </c:extLst>
        </c:ser>
        <c:ser>
          <c:idx val="1"/>
          <c:order val="1"/>
          <c:tx>
            <c:v>Gini = 0.2, η = 0.029489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DensLorenzDat!$A$10:$A$202</c:f>
              <c:numCache>
                <c:formatCode>General</c:formatCode>
                <c:ptCount val="193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  <c:pt idx="65">
                  <c:v>1.015625</c:v>
                </c:pt>
                <c:pt idx="66">
                  <c:v>1.03125</c:v>
                </c:pt>
                <c:pt idx="67">
                  <c:v>1.046875</c:v>
                </c:pt>
                <c:pt idx="68">
                  <c:v>1.0625</c:v>
                </c:pt>
                <c:pt idx="69">
                  <c:v>1.078125</c:v>
                </c:pt>
                <c:pt idx="70">
                  <c:v>1.09375</c:v>
                </c:pt>
                <c:pt idx="71">
                  <c:v>1.109375</c:v>
                </c:pt>
                <c:pt idx="72">
                  <c:v>1.125</c:v>
                </c:pt>
                <c:pt idx="73">
                  <c:v>1.140625</c:v>
                </c:pt>
                <c:pt idx="74">
                  <c:v>1.15625</c:v>
                </c:pt>
                <c:pt idx="75">
                  <c:v>1.171875</c:v>
                </c:pt>
                <c:pt idx="76">
                  <c:v>1.1875</c:v>
                </c:pt>
                <c:pt idx="77">
                  <c:v>1.203125</c:v>
                </c:pt>
                <c:pt idx="78">
                  <c:v>1.21875</c:v>
                </c:pt>
                <c:pt idx="79">
                  <c:v>1.234375</c:v>
                </c:pt>
                <c:pt idx="80">
                  <c:v>1.25</c:v>
                </c:pt>
                <c:pt idx="81">
                  <c:v>1.265625</c:v>
                </c:pt>
                <c:pt idx="82">
                  <c:v>1.28125</c:v>
                </c:pt>
                <c:pt idx="83">
                  <c:v>1.296875</c:v>
                </c:pt>
                <c:pt idx="84">
                  <c:v>1.3125</c:v>
                </c:pt>
                <c:pt idx="85">
                  <c:v>1.328125</c:v>
                </c:pt>
                <c:pt idx="86">
                  <c:v>1.34375</c:v>
                </c:pt>
                <c:pt idx="87">
                  <c:v>1.359375</c:v>
                </c:pt>
                <c:pt idx="88">
                  <c:v>1.375</c:v>
                </c:pt>
                <c:pt idx="89">
                  <c:v>1.390625</c:v>
                </c:pt>
                <c:pt idx="90">
                  <c:v>1.40625</c:v>
                </c:pt>
                <c:pt idx="91">
                  <c:v>1.421875</c:v>
                </c:pt>
                <c:pt idx="92">
                  <c:v>1.4375</c:v>
                </c:pt>
                <c:pt idx="93">
                  <c:v>1.453125</c:v>
                </c:pt>
                <c:pt idx="94">
                  <c:v>1.46875</c:v>
                </c:pt>
                <c:pt idx="95">
                  <c:v>1.484375</c:v>
                </c:pt>
                <c:pt idx="96">
                  <c:v>1.5</c:v>
                </c:pt>
                <c:pt idx="97">
                  <c:v>1.515625</c:v>
                </c:pt>
                <c:pt idx="98">
                  <c:v>1.53125</c:v>
                </c:pt>
                <c:pt idx="99">
                  <c:v>1.546875</c:v>
                </c:pt>
                <c:pt idx="100">
                  <c:v>1.5625</c:v>
                </c:pt>
                <c:pt idx="101">
                  <c:v>1.578125</c:v>
                </c:pt>
                <c:pt idx="102">
                  <c:v>1.59375</c:v>
                </c:pt>
                <c:pt idx="103">
                  <c:v>1.609375</c:v>
                </c:pt>
                <c:pt idx="104">
                  <c:v>1.625</c:v>
                </c:pt>
                <c:pt idx="105">
                  <c:v>1.640625</c:v>
                </c:pt>
                <c:pt idx="106">
                  <c:v>1.65625</c:v>
                </c:pt>
                <c:pt idx="107">
                  <c:v>1.671875</c:v>
                </c:pt>
                <c:pt idx="108">
                  <c:v>1.6875</c:v>
                </c:pt>
                <c:pt idx="109">
                  <c:v>1.703125</c:v>
                </c:pt>
                <c:pt idx="110">
                  <c:v>1.71875</c:v>
                </c:pt>
                <c:pt idx="111">
                  <c:v>1.734375</c:v>
                </c:pt>
                <c:pt idx="112">
                  <c:v>1.75</c:v>
                </c:pt>
                <c:pt idx="113">
                  <c:v>1.765625</c:v>
                </c:pt>
                <c:pt idx="114">
                  <c:v>1.78125</c:v>
                </c:pt>
                <c:pt idx="115">
                  <c:v>1.796875</c:v>
                </c:pt>
                <c:pt idx="116">
                  <c:v>1.8125</c:v>
                </c:pt>
                <c:pt idx="117">
                  <c:v>1.828125</c:v>
                </c:pt>
                <c:pt idx="118">
                  <c:v>1.84375</c:v>
                </c:pt>
                <c:pt idx="119">
                  <c:v>1.859375</c:v>
                </c:pt>
                <c:pt idx="120">
                  <c:v>1.875</c:v>
                </c:pt>
                <c:pt idx="121">
                  <c:v>1.890625</c:v>
                </c:pt>
                <c:pt idx="122">
                  <c:v>1.90625</c:v>
                </c:pt>
                <c:pt idx="123">
                  <c:v>1.921875</c:v>
                </c:pt>
                <c:pt idx="124">
                  <c:v>1.9375</c:v>
                </c:pt>
                <c:pt idx="125">
                  <c:v>1.953125</c:v>
                </c:pt>
                <c:pt idx="126">
                  <c:v>1.96875</c:v>
                </c:pt>
                <c:pt idx="127">
                  <c:v>1.984375</c:v>
                </c:pt>
                <c:pt idx="128">
                  <c:v>2</c:v>
                </c:pt>
                <c:pt idx="129">
                  <c:v>2.015625</c:v>
                </c:pt>
                <c:pt idx="130">
                  <c:v>2.03125</c:v>
                </c:pt>
                <c:pt idx="131">
                  <c:v>2.046875</c:v>
                </c:pt>
                <c:pt idx="132">
                  <c:v>2.0625</c:v>
                </c:pt>
                <c:pt idx="133">
                  <c:v>2.078125</c:v>
                </c:pt>
                <c:pt idx="134">
                  <c:v>2.09375</c:v>
                </c:pt>
                <c:pt idx="135">
                  <c:v>2.109375</c:v>
                </c:pt>
                <c:pt idx="136">
                  <c:v>2.125</c:v>
                </c:pt>
                <c:pt idx="137">
                  <c:v>2.140625</c:v>
                </c:pt>
                <c:pt idx="138">
                  <c:v>2.15625</c:v>
                </c:pt>
                <c:pt idx="139">
                  <c:v>2.171875</c:v>
                </c:pt>
                <c:pt idx="140">
                  <c:v>2.1875</c:v>
                </c:pt>
                <c:pt idx="141">
                  <c:v>2.203125</c:v>
                </c:pt>
                <c:pt idx="142">
                  <c:v>2.21875</c:v>
                </c:pt>
                <c:pt idx="143">
                  <c:v>2.234375</c:v>
                </c:pt>
                <c:pt idx="144">
                  <c:v>2.25</c:v>
                </c:pt>
                <c:pt idx="145">
                  <c:v>2.265625</c:v>
                </c:pt>
                <c:pt idx="146">
                  <c:v>2.28125</c:v>
                </c:pt>
                <c:pt idx="147">
                  <c:v>2.296875</c:v>
                </c:pt>
                <c:pt idx="148">
                  <c:v>2.3125</c:v>
                </c:pt>
                <c:pt idx="149">
                  <c:v>2.328125</c:v>
                </c:pt>
                <c:pt idx="150">
                  <c:v>2.34375</c:v>
                </c:pt>
                <c:pt idx="151">
                  <c:v>2.359375</c:v>
                </c:pt>
                <c:pt idx="152">
                  <c:v>2.375</c:v>
                </c:pt>
                <c:pt idx="153">
                  <c:v>2.390625</c:v>
                </c:pt>
                <c:pt idx="154">
                  <c:v>2.40625</c:v>
                </c:pt>
                <c:pt idx="155">
                  <c:v>2.421875</c:v>
                </c:pt>
                <c:pt idx="156">
                  <c:v>2.4375</c:v>
                </c:pt>
                <c:pt idx="157">
                  <c:v>2.453125</c:v>
                </c:pt>
                <c:pt idx="158">
                  <c:v>2.46875</c:v>
                </c:pt>
                <c:pt idx="159">
                  <c:v>2.484375</c:v>
                </c:pt>
                <c:pt idx="160">
                  <c:v>2.5</c:v>
                </c:pt>
                <c:pt idx="161">
                  <c:v>2.515625</c:v>
                </c:pt>
                <c:pt idx="162">
                  <c:v>2.53125</c:v>
                </c:pt>
                <c:pt idx="163">
                  <c:v>2.546875</c:v>
                </c:pt>
                <c:pt idx="164">
                  <c:v>2.5625</c:v>
                </c:pt>
                <c:pt idx="165">
                  <c:v>2.578125</c:v>
                </c:pt>
                <c:pt idx="166">
                  <c:v>2.59375</c:v>
                </c:pt>
                <c:pt idx="167">
                  <c:v>2.609375</c:v>
                </c:pt>
                <c:pt idx="168">
                  <c:v>2.625</c:v>
                </c:pt>
                <c:pt idx="169">
                  <c:v>2.640625</c:v>
                </c:pt>
                <c:pt idx="170">
                  <c:v>2.65625</c:v>
                </c:pt>
                <c:pt idx="171">
                  <c:v>2.671875</c:v>
                </c:pt>
                <c:pt idx="172">
                  <c:v>2.6875</c:v>
                </c:pt>
                <c:pt idx="173">
                  <c:v>2.703125</c:v>
                </c:pt>
                <c:pt idx="174">
                  <c:v>2.71875</c:v>
                </c:pt>
                <c:pt idx="175">
                  <c:v>2.734375</c:v>
                </c:pt>
                <c:pt idx="176">
                  <c:v>2.75</c:v>
                </c:pt>
                <c:pt idx="177">
                  <c:v>2.765625</c:v>
                </c:pt>
                <c:pt idx="178">
                  <c:v>2.78125</c:v>
                </c:pt>
                <c:pt idx="179">
                  <c:v>2.796875</c:v>
                </c:pt>
                <c:pt idx="180">
                  <c:v>2.8125</c:v>
                </c:pt>
                <c:pt idx="181">
                  <c:v>2.828125</c:v>
                </c:pt>
                <c:pt idx="182">
                  <c:v>2.84375</c:v>
                </c:pt>
                <c:pt idx="183">
                  <c:v>2.859375</c:v>
                </c:pt>
                <c:pt idx="184">
                  <c:v>2.875</c:v>
                </c:pt>
                <c:pt idx="185">
                  <c:v>2.890625</c:v>
                </c:pt>
                <c:pt idx="186">
                  <c:v>2.90625</c:v>
                </c:pt>
                <c:pt idx="187">
                  <c:v>2.921875</c:v>
                </c:pt>
                <c:pt idx="188">
                  <c:v>2.9375</c:v>
                </c:pt>
                <c:pt idx="189">
                  <c:v>2.953125</c:v>
                </c:pt>
                <c:pt idx="190">
                  <c:v>2.96875</c:v>
                </c:pt>
                <c:pt idx="191">
                  <c:v>2.984375</c:v>
                </c:pt>
                <c:pt idx="192">
                  <c:v>3</c:v>
                </c:pt>
              </c:numCache>
            </c:numRef>
          </c:xVal>
          <c:yVal>
            <c:numRef>
              <c:f>DensLorenzDat!$C$10:$C$202</c:f>
              <c:numCache>
                <c:formatCode>General</c:formatCode>
                <c:ptCount val="193"/>
                <c:pt idx="0">
                  <c:v>9.0398587705298045E-2</c:v>
                </c:pt>
                <c:pt idx="1">
                  <c:v>9.4695445140208709E-2</c:v>
                </c:pt>
                <c:pt idx="2">
                  <c:v>9.9189502957136494E-2</c:v>
                </c:pt>
                <c:pt idx="3">
                  <c:v>0.10388910530885306</c:v>
                </c:pt>
                <c:pt idx="4">
                  <c:v>0.10880287730883152</c:v>
                </c:pt>
                <c:pt idx="5">
                  <c:v>0.1139397267010983</c:v>
                </c:pt>
                <c:pt idx="6">
                  <c:v>0.11930884451247785</c:v>
                </c:pt>
                <c:pt idx="7">
                  <c:v>0.12491970454425687</c:v>
                </c:pt>
                <c:pt idx="8">
                  <c:v>0.13078206154647226</c:v>
                </c:pt>
                <c:pt idx="9">
                  <c:v>0.13690594790320423</c:v>
                </c:pt>
                <c:pt idx="10">
                  <c:v>0.14330166864140004</c:v>
                </c:pt>
                <c:pt idx="11">
                  <c:v>0.14997979455884097</c:v>
                </c:pt>
                <c:pt idx="12">
                  <c:v>0.15695115324887787</c:v>
                </c:pt>
                <c:pt idx="13">
                  <c:v>0.16422681778049075</c:v>
                </c:pt>
                <c:pt idx="14">
                  <c:v>0.17181809277208715</c:v>
                </c:pt>
                <c:pt idx="15">
                  <c:v>0.17973649757626056</c:v>
                </c:pt>
                <c:pt idx="16">
                  <c:v>0.18799374627052889</c:v>
                </c:pt>
                <c:pt idx="17">
                  <c:v>0.19660172412593271</c:v>
                </c:pt>
                <c:pt idx="18">
                  <c:v>0.20557246020138112</c:v>
                </c:pt>
                <c:pt idx="19">
                  <c:v>0.21491809568692494</c:v>
                </c:pt>
                <c:pt idx="20">
                  <c:v>0.22465084759387216</c:v>
                </c:pt>
                <c:pt idx="21">
                  <c:v>0.23478296736404988</c:v>
                </c:pt>
                <c:pt idx="22">
                  <c:v>0.24532669394483123</c:v>
                </c:pt>
                <c:pt idx="23">
                  <c:v>0.25629420085109322</c:v>
                </c:pt>
                <c:pt idx="24">
                  <c:v>0.2676975367104597</c:v>
                </c:pt>
                <c:pt idx="25">
                  <c:v>0.2795485587644716</c:v>
                </c:pt>
                <c:pt idx="26">
                  <c:v>0.29185885877627488</c:v>
                </c:pt>
                <c:pt idx="27">
                  <c:v>0.30463968077569209</c:v>
                </c:pt>
                <c:pt idx="28">
                  <c:v>0.31790183005590389</c:v>
                </c:pt>
                <c:pt idx="29">
                  <c:v>0.33165557282331998</c:v>
                </c:pt>
                <c:pt idx="30">
                  <c:v>0.34591052589459254</c:v>
                </c:pt>
                <c:pt idx="31">
                  <c:v>0.36067553583331041</c:v>
                </c:pt>
                <c:pt idx="32">
                  <c:v>0.37595854692505476</c:v>
                </c:pt>
                <c:pt idx="33">
                  <c:v>0.39176645740473637</c:v>
                </c:pt>
                <c:pt idx="34">
                  <c:v>0.40810496337619606</c:v>
                </c:pt>
                <c:pt idx="35">
                  <c:v>0.42497838990285275</c:v>
                </c:pt>
                <c:pt idx="36">
                  <c:v>0.44238950880189065</c:v>
                </c:pt>
                <c:pt idx="37">
                  <c:v>0.4603393427454408</c:v>
                </c:pt>
                <c:pt idx="38">
                  <c:v>0.47882695536303299</c:v>
                </c:pt>
                <c:pt idx="39">
                  <c:v>0.49784922715308649</c:v>
                </c:pt>
                <c:pt idx="40">
                  <c:v>0.51740061715041208</c:v>
                </c:pt>
                <c:pt idx="41">
                  <c:v>0.53747291046483314</c:v>
                </c:pt>
                <c:pt idx="42">
                  <c:v>0.558054952006519</c:v>
                </c:pt>
                <c:pt idx="43">
                  <c:v>0.5791323669499906</c:v>
                </c:pt>
                <c:pt idx="44">
                  <c:v>0.60068726876462153</c:v>
                </c:pt>
                <c:pt idx="45">
                  <c:v>0.62269795595843958</c:v>
                </c:pt>
                <c:pt idx="46">
                  <c:v>0.6451385990476598</c:v>
                </c:pt>
                <c:pt idx="47">
                  <c:v>0.66797891967995815</c:v>
                </c:pt>
                <c:pt idx="48">
                  <c:v>0.69118386430799472</c:v>
                </c:pt>
                <c:pt idx="49">
                  <c:v>0.71471327533349505</c:v>
                </c:pt>
                <c:pt idx="50">
                  <c:v>0.73852156322295426</c:v>
                </c:pt>
                <c:pt idx="51">
                  <c:v>0.76255738373434956</c:v>
                </c:pt>
                <c:pt idx="52">
                  <c:v>0.7867633250894035</c:v>
                </c:pt>
                <c:pt idx="53">
                  <c:v>0.8110756106755227</c:v>
                </c:pt>
                <c:pt idx="54">
                  <c:v>0.83542382366108436</c:v>
                </c:pt>
                <c:pt idx="55">
                  <c:v>0.85973066075019722</c:v>
                </c:pt>
                <c:pt idx="56">
                  <c:v>0.88391172317844935</c:v>
                </c:pt>
                <c:pt idx="57">
                  <c:v>0.90787535394583818</c:v>
                </c:pt>
                <c:pt idx="58">
                  <c:v>0.93152253117946127</c:v>
                </c:pt>
                <c:pt idx="59">
                  <c:v>0.9547468283942232</c:v>
                </c:pt>
                <c:pt idx="60">
                  <c:v>0.9774344532472915</c:v>
                </c:pt>
                <c:pt idx="61">
                  <c:v>0.99946437712798597</c:v>
                </c:pt>
                <c:pt idx="62">
                  <c:v>1.0207085685497159</c:v>
                </c:pt>
                <c:pt idx="63">
                  <c:v>1.0410323437684954</c:v>
                </c:pt>
                <c:pt idx="64">
                  <c:v>1.0602948482907799</c:v>
                </c:pt>
                <c:pt idx="65">
                  <c:v>1.078349682892588</c:v>
                </c:pt>
                <c:pt idx="66">
                  <c:v>1.0950456873866674</c:v>
                </c:pt>
                <c:pt idx="67">
                  <c:v>1.1102278945740598</c:v>
                </c:pt>
                <c:pt idx="68">
                  <c:v>1.1237386655259316</c:v>
                </c:pt>
                <c:pt idx="69">
                  <c:v>1.1354190154841284</c:v>
                </c:pt>
                <c:pt idx="70">
                  <c:v>1.1451101371681756</c:v>
                </c:pt>
                <c:pt idx="71">
                  <c:v>1.1526551250601749</c:v>
                </c:pt>
                <c:pt idx="72">
                  <c:v>1.1579009002432141</c:v>
                </c:pt>
                <c:pt idx="73">
                  <c:v>1.1607003305435386</c:v>
                </c:pt>
                <c:pt idx="74">
                  <c:v>1.1609145350415428</c:v>
                </c:pt>
                <c:pt idx="75">
                  <c:v>1.1584153554688896</c:v>
                </c:pt>
                <c:pt idx="76">
                  <c:v>1.1530879696311513</c:v>
                </c:pt>
                <c:pt idx="77">
                  <c:v>1.1448336138636748</c:v>
                </c:pt>
                <c:pt idx="78">
                  <c:v>1.133572372772057</c:v>
                </c:pt>
                <c:pt idx="79">
                  <c:v>1.1192459853182304</c:v>
                </c:pt>
                <c:pt idx="80">
                  <c:v>1.1018206069481775</c:v>
                </c:pt>
                <c:pt idx="81">
                  <c:v>1.0812894582523691</c:v>
                </c:pt>
                <c:pt idx="82">
                  <c:v>1.0576752820175828</c:v>
                </c:pt>
                <c:pt idx="83">
                  <c:v>1.0310325229587189</c:v>
                </c:pt>
                <c:pt idx="84">
                  <c:v>1.0014491384725661</c:v>
                </c:pt>
                <c:pt idx="85">
                  <c:v>0.9690479450517826</c:v>
                </c:pt>
                <c:pt idx="86">
                  <c:v>0.93398740419442283</c:v>
                </c:pt>
                <c:pt idx="87">
                  <c:v>0.8964617544087351</c:v>
                </c:pt>
                <c:pt idx="88">
                  <c:v>0.85670040288153293</c:v>
                </c:pt>
                <c:pt idx="89">
                  <c:v>0.81496650210938915</c:v>
                </c:pt>
                <c:pt idx="90">
                  <c:v>0.77155465370850873</c:v>
                </c:pt>
                <c:pt idx="91">
                  <c:v>0.72678770394484449</c:v>
                </c:pt>
                <c:pt idx="92">
                  <c:v>0.68101262321804568</c:v>
                </c:pt>
                <c:pt idx="93">
                  <c:v>0.63459549441495466</c:v>
                </c:pt>
                <c:pt idx="94">
                  <c:v>0.58791567195306238</c:v>
                </c:pt>
                <c:pt idx="95">
                  <c:v>0.54135921325887282</c:v>
                </c:pt>
                <c:pt idx="96">
                  <c:v>0.49531172571319898</c:v>
                </c:pt>
                <c:pt idx="97">
                  <c:v>0.45015081264762569</c:v>
                </c:pt>
                <c:pt idx="98">
                  <c:v>0.40623833931130748</c:v>
                </c:pt>
                <c:pt idx="99">
                  <c:v>0.36391277108325842</c:v>
                </c:pt>
                <c:pt idx="100">
                  <c:v>0.32348185869845913</c:v>
                </c:pt>
                <c:pt idx="101">
                  <c:v>0.28521595608939287</c:v>
                </c:pt>
                <c:pt idx="102">
                  <c:v>0.24934225316102576</c:v>
                </c:pt>
                <c:pt idx="103">
                  <c:v>0.21604018658046245</c:v>
                </c:pt>
                <c:pt idx="104">
                  <c:v>0.18543825554423488</c:v>
                </c:pt>
                <c:pt idx="105">
                  <c:v>0.15761241672598084</c:v>
                </c:pt>
                <c:pt idx="106">
                  <c:v>0.13258616481141244</c:v>
                </c:pt>
                <c:pt idx="107">
                  <c:v>0.11033232526547035</c:v>
                </c:pt>
                <c:pt idx="108">
                  <c:v>9.0776498741062708E-2</c:v>
                </c:pt>
                <c:pt idx="109">
                  <c:v>7.3802007541728304E-2</c:v>
                </c:pt>
                <c:pt idx="110">
                  <c:v>5.925611034396959E-2</c:v>
                </c:pt>
                <c:pt idx="111">
                  <c:v>4.6957178819297132E-2</c:v>
                </c:pt>
                <c:pt idx="112">
                  <c:v>3.6702475351513865E-2</c:v>
                </c:pt>
                <c:pt idx="113">
                  <c:v>2.827614010291719E-2</c:v>
                </c:pt>
                <c:pt idx="114">
                  <c:v>2.1456991823928576E-2</c:v>
                </c:pt>
                <c:pt idx="115">
                  <c:v>1.6025771229072071E-2</c:v>
                </c:pt>
                <c:pt idx="116">
                  <c:v>1.1771506964082367E-2</c:v>
                </c:pt>
                <c:pt idx="117">
                  <c:v>8.4967578995573875E-3</c:v>
                </c:pt>
                <c:pt idx="118">
                  <c:v>6.0215750178837192E-3</c:v>
                </c:pt>
                <c:pt idx="119">
                  <c:v>4.1861230790781389E-3</c:v>
                </c:pt>
                <c:pt idx="120">
                  <c:v>2.8519973428582516E-3</c:v>
                </c:pt>
                <c:pt idx="121">
                  <c:v>1.9023550152887721E-3</c:v>
                </c:pt>
                <c:pt idx="122">
                  <c:v>1.2410473642551973E-3</c:v>
                </c:pt>
                <c:pt idx="123">
                  <c:v>7.9098158448345389E-4</c:v>
                </c:pt>
                <c:pt idx="124">
                  <c:v>4.9195944061686139E-4</c:v>
                </c:pt>
                <c:pt idx="125">
                  <c:v>2.982335348947895E-4</c:v>
                </c:pt>
                <c:pt idx="126">
                  <c:v>1.7599555761605663E-4</c:v>
                </c:pt>
                <c:pt idx="127">
                  <c:v>1.0096991698913652E-4</c:v>
                </c:pt>
                <c:pt idx="128">
                  <c:v>5.623753331800499E-5</c:v>
                </c:pt>
                <c:pt idx="129">
                  <c:v>3.0365044529222589E-5</c:v>
                </c:pt>
                <c:pt idx="130">
                  <c:v>1.5869873700452213E-5</c:v>
                </c:pt>
                <c:pt idx="131">
                  <c:v>8.0155062351002993E-6</c:v>
                </c:pt>
                <c:pt idx="132">
                  <c:v>3.905875451035296E-6</c:v>
                </c:pt>
                <c:pt idx="133">
                  <c:v>1.8330405689457983E-6</c:v>
                </c:pt>
                <c:pt idx="134">
                  <c:v>8.269721047151549E-7</c:v>
                </c:pt>
                <c:pt idx="135">
                  <c:v>3.579598271617922E-7</c:v>
                </c:pt>
                <c:pt idx="136">
                  <c:v>1.4836132080643176E-7</c:v>
                </c:pt>
                <c:pt idx="137">
                  <c:v>5.8752336783778112E-8</c:v>
                </c:pt>
                <c:pt idx="138">
                  <c:v>2.2180808109032559E-8</c:v>
                </c:pt>
                <c:pt idx="139">
                  <c:v>7.9645175466556622E-9</c:v>
                </c:pt>
                <c:pt idx="140">
                  <c:v>2.7133365644570088E-9</c:v>
                </c:pt>
                <c:pt idx="141">
                  <c:v>8.7476171668203504E-10</c:v>
                </c:pt>
                <c:pt idx="142">
                  <c:v>2.6615991794422141E-10</c:v>
                </c:pt>
                <c:pt idx="143">
                  <c:v>7.6213088934263343E-11</c:v>
                </c:pt>
                <c:pt idx="144">
                  <c:v>2.0476572907228569E-11</c:v>
                </c:pt>
                <c:pt idx="145">
                  <c:v>5.1459921576313902E-12</c:v>
                </c:pt>
                <c:pt idx="146">
                  <c:v>1.2057073469922693E-12</c:v>
                </c:pt>
                <c:pt idx="147">
                  <c:v>2.6247178603176008E-13</c:v>
                </c:pt>
                <c:pt idx="148">
                  <c:v>5.2896268894330078E-14</c:v>
                </c:pt>
                <c:pt idx="149">
                  <c:v>9.831642678372509E-15</c:v>
                </c:pt>
                <c:pt idx="150">
                  <c:v>1.6786575769097571E-15</c:v>
                </c:pt>
                <c:pt idx="151">
                  <c:v>2.6219531772623639E-16</c:v>
                </c:pt>
                <c:pt idx="152">
                  <c:v>3.7300757508685108E-17</c:v>
                </c:pt>
                <c:pt idx="153">
                  <c:v>4.8111660842355958E-18</c:v>
                </c:pt>
                <c:pt idx="154">
                  <c:v>5.5993226759343914E-19</c:v>
                </c:pt>
                <c:pt idx="155">
                  <c:v>5.8503678001871405E-20</c:v>
                </c:pt>
                <c:pt idx="156">
                  <c:v>5.458785619007808E-21</c:v>
                </c:pt>
                <c:pt idx="157">
                  <c:v>4.5233905391929962E-22</c:v>
                </c:pt>
                <c:pt idx="158">
                  <c:v>3.3094748478382536E-23</c:v>
                </c:pt>
                <c:pt idx="159">
                  <c:v>2.1248525810863978E-24</c:v>
                </c:pt>
                <c:pt idx="160">
                  <c:v>1.1895725212784311E-25</c:v>
                </c:pt>
                <c:pt idx="161">
                  <c:v>5.7680185602951737E-27</c:v>
                </c:pt>
                <c:pt idx="162">
                  <c:v>2.4053264420890568E-28</c:v>
                </c:pt>
                <c:pt idx="163">
                  <c:v>8.5629007567860783E-30</c:v>
                </c:pt>
                <c:pt idx="164">
                  <c:v>2.582245978177376E-31</c:v>
                </c:pt>
                <c:pt idx="165">
                  <c:v>6.5428829013124184E-33</c:v>
                </c:pt>
                <c:pt idx="166">
                  <c:v>1.3811064788931522E-34</c:v>
                </c:pt>
                <c:pt idx="167">
                  <c:v>2.4070294298813352E-36</c:v>
                </c:pt>
                <c:pt idx="168">
                  <c:v>3.4312376099882079E-38</c:v>
                </c:pt>
                <c:pt idx="169">
                  <c:v>3.9614493067324075E-40</c:v>
                </c:pt>
                <c:pt idx="170">
                  <c:v>3.6660644641857861E-42</c:v>
                </c:pt>
                <c:pt idx="171">
                  <c:v>2.6901547050567792E-44</c:v>
                </c:pt>
                <c:pt idx="172">
                  <c:v>1.5475438443034593E-46</c:v>
                </c:pt>
                <c:pt idx="173">
                  <c:v>6.8962368340451075E-49</c:v>
                </c:pt>
                <c:pt idx="174">
                  <c:v>2.3509614290861874E-51</c:v>
                </c:pt>
                <c:pt idx="175">
                  <c:v>6.0511344858277062E-54</c:v>
                </c:pt>
                <c:pt idx="176">
                  <c:v>1.1598451858162342E-56</c:v>
                </c:pt>
                <c:pt idx="177">
                  <c:v>1.6317570721898007E-59</c:v>
                </c:pt>
                <c:pt idx="178">
                  <c:v>1.6596464254458666E-62</c:v>
                </c:pt>
                <c:pt idx="179">
                  <c:v>1.2010731275793257E-65</c:v>
                </c:pt>
                <c:pt idx="180">
                  <c:v>6.0822935217309649E-69</c:v>
                </c:pt>
                <c:pt idx="181">
                  <c:v>2.1178929222499972E-72</c:v>
                </c:pt>
                <c:pt idx="182">
                  <c:v>4.9785278291749493E-76</c:v>
                </c:pt>
                <c:pt idx="183">
                  <c:v>7.7497640217986822E-80</c:v>
                </c:pt>
                <c:pt idx="184">
                  <c:v>7.8286409313950762E-84</c:v>
                </c:pt>
                <c:pt idx="185">
                  <c:v>5.0243943669751705E-88</c:v>
                </c:pt>
                <c:pt idx="186">
                  <c:v>2.0036313763449173E-92</c:v>
                </c:pt>
                <c:pt idx="187">
                  <c:v>4.8501151310566907E-97</c:v>
                </c:pt>
                <c:pt idx="188">
                  <c:v>6.9542862182107354E-102</c:v>
                </c:pt>
                <c:pt idx="189">
                  <c:v>5.7565721612958958E-107</c:v>
                </c:pt>
                <c:pt idx="190">
                  <c:v>2.6778340013366047E-112</c:v>
                </c:pt>
                <c:pt idx="191">
                  <c:v>6.8051089677494632E-118</c:v>
                </c:pt>
                <c:pt idx="192">
                  <c:v>9.1714820921896131E-124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03-4AFE-A35E-761EE751A948}"/>
            </c:ext>
          </c:extLst>
        </c:ser>
        <c:ser>
          <c:idx val="2"/>
          <c:order val="2"/>
          <c:tx>
            <c:v>Gini = 0.3, η = 0.205668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DensLorenzDat!$A$10:$A$202</c:f>
              <c:numCache>
                <c:formatCode>General</c:formatCode>
                <c:ptCount val="193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  <c:pt idx="65">
                  <c:v>1.015625</c:v>
                </c:pt>
                <c:pt idx="66">
                  <c:v>1.03125</c:v>
                </c:pt>
                <c:pt idx="67">
                  <c:v>1.046875</c:v>
                </c:pt>
                <c:pt idx="68">
                  <c:v>1.0625</c:v>
                </c:pt>
                <c:pt idx="69">
                  <c:v>1.078125</c:v>
                </c:pt>
                <c:pt idx="70">
                  <c:v>1.09375</c:v>
                </c:pt>
                <c:pt idx="71">
                  <c:v>1.109375</c:v>
                </c:pt>
                <c:pt idx="72">
                  <c:v>1.125</c:v>
                </c:pt>
                <c:pt idx="73">
                  <c:v>1.140625</c:v>
                </c:pt>
                <c:pt idx="74">
                  <c:v>1.15625</c:v>
                </c:pt>
                <c:pt idx="75">
                  <c:v>1.171875</c:v>
                </c:pt>
                <c:pt idx="76">
                  <c:v>1.1875</c:v>
                </c:pt>
                <c:pt idx="77">
                  <c:v>1.203125</c:v>
                </c:pt>
                <c:pt idx="78">
                  <c:v>1.21875</c:v>
                </c:pt>
                <c:pt idx="79">
                  <c:v>1.234375</c:v>
                </c:pt>
                <c:pt idx="80">
                  <c:v>1.25</c:v>
                </c:pt>
                <c:pt idx="81">
                  <c:v>1.265625</c:v>
                </c:pt>
                <c:pt idx="82">
                  <c:v>1.28125</c:v>
                </c:pt>
                <c:pt idx="83">
                  <c:v>1.296875</c:v>
                </c:pt>
                <c:pt idx="84">
                  <c:v>1.3125</c:v>
                </c:pt>
                <c:pt idx="85">
                  <c:v>1.328125</c:v>
                </c:pt>
                <c:pt idx="86">
                  <c:v>1.34375</c:v>
                </c:pt>
                <c:pt idx="87">
                  <c:v>1.359375</c:v>
                </c:pt>
                <c:pt idx="88">
                  <c:v>1.375</c:v>
                </c:pt>
                <c:pt idx="89">
                  <c:v>1.390625</c:v>
                </c:pt>
                <c:pt idx="90">
                  <c:v>1.40625</c:v>
                </c:pt>
                <c:pt idx="91">
                  <c:v>1.421875</c:v>
                </c:pt>
                <c:pt idx="92">
                  <c:v>1.4375</c:v>
                </c:pt>
                <c:pt idx="93">
                  <c:v>1.453125</c:v>
                </c:pt>
                <c:pt idx="94">
                  <c:v>1.46875</c:v>
                </c:pt>
                <c:pt idx="95">
                  <c:v>1.484375</c:v>
                </c:pt>
                <c:pt idx="96">
                  <c:v>1.5</c:v>
                </c:pt>
                <c:pt idx="97">
                  <c:v>1.515625</c:v>
                </c:pt>
                <c:pt idx="98">
                  <c:v>1.53125</c:v>
                </c:pt>
                <c:pt idx="99">
                  <c:v>1.546875</c:v>
                </c:pt>
                <c:pt idx="100">
                  <c:v>1.5625</c:v>
                </c:pt>
                <c:pt idx="101">
                  <c:v>1.578125</c:v>
                </c:pt>
                <c:pt idx="102">
                  <c:v>1.59375</c:v>
                </c:pt>
                <c:pt idx="103">
                  <c:v>1.609375</c:v>
                </c:pt>
                <c:pt idx="104">
                  <c:v>1.625</c:v>
                </c:pt>
                <c:pt idx="105">
                  <c:v>1.640625</c:v>
                </c:pt>
                <c:pt idx="106">
                  <c:v>1.65625</c:v>
                </c:pt>
                <c:pt idx="107">
                  <c:v>1.671875</c:v>
                </c:pt>
                <c:pt idx="108">
                  <c:v>1.6875</c:v>
                </c:pt>
                <c:pt idx="109">
                  <c:v>1.703125</c:v>
                </c:pt>
                <c:pt idx="110">
                  <c:v>1.71875</c:v>
                </c:pt>
                <c:pt idx="111">
                  <c:v>1.734375</c:v>
                </c:pt>
                <c:pt idx="112">
                  <c:v>1.75</c:v>
                </c:pt>
                <c:pt idx="113">
                  <c:v>1.765625</c:v>
                </c:pt>
                <c:pt idx="114">
                  <c:v>1.78125</c:v>
                </c:pt>
                <c:pt idx="115">
                  <c:v>1.796875</c:v>
                </c:pt>
                <c:pt idx="116">
                  <c:v>1.8125</c:v>
                </c:pt>
                <c:pt idx="117">
                  <c:v>1.828125</c:v>
                </c:pt>
                <c:pt idx="118">
                  <c:v>1.84375</c:v>
                </c:pt>
                <c:pt idx="119">
                  <c:v>1.859375</c:v>
                </c:pt>
                <c:pt idx="120">
                  <c:v>1.875</c:v>
                </c:pt>
                <c:pt idx="121">
                  <c:v>1.890625</c:v>
                </c:pt>
                <c:pt idx="122">
                  <c:v>1.90625</c:v>
                </c:pt>
                <c:pt idx="123">
                  <c:v>1.921875</c:v>
                </c:pt>
                <c:pt idx="124">
                  <c:v>1.9375</c:v>
                </c:pt>
                <c:pt idx="125">
                  <c:v>1.953125</c:v>
                </c:pt>
                <c:pt idx="126">
                  <c:v>1.96875</c:v>
                </c:pt>
                <c:pt idx="127">
                  <c:v>1.984375</c:v>
                </c:pt>
                <c:pt idx="128">
                  <c:v>2</c:v>
                </c:pt>
                <c:pt idx="129">
                  <c:v>2.015625</c:v>
                </c:pt>
                <c:pt idx="130">
                  <c:v>2.03125</c:v>
                </c:pt>
                <c:pt idx="131">
                  <c:v>2.046875</c:v>
                </c:pt>
                <c:pt idx="132">
                  <c:v>2.0625</c:v>
                </c:pt>
                <c:pt idx="133">
                  <c:v>2.078125</c:v>
                </c:pt>
                <c:pt idx="134">
                  <c:v>2.09375</c:v>
                </c:pt>
                <c:pt idx="135">
                  <c:v>2.109375</c:v>
                </c:pt>
                <c:pt idx="136">
                  <c:v>2.125</c:v>
                </c:pt>
                <c:pt idx="137">
                  <c:v>2.140625</c:v>
                </c:pt>
                <c:pt idx="138">
                  <c:v>2.15625</c:v>
                </c:pt>
                <c:pt idx="139">
                  <c:v>2.171875</c:v>
                </c:pt>
                <c:pt idx="140">
                  <c:v>2.1875</c:v>
                </c:pt>
                <c:pt idx="141">
                  <c:v>2.203125</c:v>
                </c:pt>
                <c:pt idx="142">
                  <c:v>2.21875</c:v>
                </c:pt>
                <c:pt idx="143">
                  <c:v>2.234375</c:v>
                </c:pt>
                <c:pt idx="144">
                  <c:v>2.25</c:v>
                </c:pt>
                <c:pt idx="145">
                  <c:v>2.265625</c:v>
                </c:pt>
                <c:pt idx="146">
                  <c:v>2.28125</c:v>
                </c:pt>
                <c:pt idx="147">
                  <c:v>2.296875</c:v>
                </c:pt>
                <c:pt idx="148">
                  <c:v>2.3125</c:v>
                </c:pt>
                <c:pt idx="149">
                  <c:v>2.328125</c:v>
                </c:pt>
                <c:pt idx="150">
                  <c:v>2.34375</c:v>
                </c:pt>
                <c:pt idx="151">
                  <c:v>2.359375</c:v>
                </c:pt>
                <c:pt idx="152">
                  <c:v>2.375</c:v>
                </c:pt>
                <c:pt idx="153">
                  <c:v>2.390625</c:v>
                </c:pt>
                <c:pt idx="154">
                  <c:v>2.40625</c:v>
                </c:pt>
                <c:pt idx="155">
                  <c:v>2.421875</c:v>
                </c:pt>
                <c:pt idx="156">
                  <c:v>2.4375</c:v>
                </c:pt>
                <c:pt idx="157">
                  <c:v>2.453125</c:v>
                </c:pt>
                <c:pt idx="158">
                  <c:v>2.46875</c:v>
                </c:pt>
                <c:pt idx="159">
                  <c:v>2.484375</c:v>
                </c:pt>
                <c:pt idx="160">
                  <c:v>2.5</c:v>
                </c:pt>
                <c:pt idx="161">
                  <c:v>2.515625</c:v>
                </c:pt>
                <c:pt idx="162">
                  <c:v>2.53125</c:v>
                </c:pt>
                <c:pt idx="163">
                  <c:v>2.546875</c:v>
                </c:pt>
                <c:pt idx="164">
                  <c:v>2.5625</c:v>
                </c:pt>
                <c:pt idx="165">
                  <c:v>2.578125</c:v>
                </c:pt>
                <c:pt idx="166">
                  <c:v>2.59375</c:v>
                </c:pt>
                <c:pt idx="167">
                  <c:v>2.609375</c:v>
                </c:pt>
                <c:pt idx="168">
                  <c:v>2.625</c:v>
                </c:pt>
                <c:pt idx="169">
                  <c:v>2.640625</c:v>
                </c:pt>
                <c:pt idx="170">
                  <c:v>2.65625</c:v>
                </c:pt>
                <c:pt idx="171">
                  <c:v>2.671875</c:v>
                </c:pt>
                <c:pt idx="172">
                  <c:v>2.6875</c:v>
                </c:pt>
                <c:pt idx="173">
                  <c:v>2.703125</c:v>
                </c:pt>
                <c:pt idx="174">
                  <c:v>2.71875</c:v>
                </c:pt>
                <c:pt idx="175">
                  <c:v>2.734375</c:v>
                </c:pt>
                <c:pt idx="176">
                  <c:v>2.75</c:v>
                </c:pt>
                <c:pt idx="177">
                  <c:v>2.765625</c:v>
                </c:pt>
                <c:pt idx="178">
                  <c:v>2.78125</c:v>
                </c:pt>
                <c:pt idx="179">
                  <c:v>2.796875</c:v>
                </c:pt>
                <c:pt idx="180">
                  <c:v>2.8125</c:v>
                </c:pt>
                <c:pt idx="181">
                  <c:v>2.828125</c:v>
                </c:pt>
                <c:pt idx="182">
                  <c:v>2.84375</c:v>
                </c:pt>
                <c:pt idx="183">
                  <c:v>2.859375</c:v>
                </c:pt>
                <c:pt idx="184">
                  <c:v>2.875</c:v>
                </c:pt>
                <c:pt idx="185">
                  <c:v>2.890625</c:v>
                </c:pt>
                <c:pt idx="186">
                  <c:v>2.90625</c:v>
                </c:pt>
                <c:pt idx="187">
                  <c:v>2.921875</c:v>
                </c:pt>
                <c:pt idx="188">
                  <c:v>2.9375</c:v>
                </c:pt>
                <c:pt idx="189">
                  <c:v>2.953125</c:v>
                </c:pt>
                <c:pt idx="190">
                  <c:v>2.96875</c:v>
                </c:pt>
                <c:pt idx="191">
                  <c:v>2.984375</c:v>
                </c:pt>
                <c:pt idx="192">
                  <c:v>3</c:v>
                </c:pt>
              </c:numCache>
            </c:numRef>
          </c:xVal>
          <c:yVal>
            <c:numRef>
              <c:f>DensLorenzDat!$D$10:$D$202</c:f>
              <c:numCache>
                <c:formatCode>General</c:formatCode>
                <c:ptCount val="193"/>
                <c:pt idx="0">
                  <c:v>0.3031160820934552</c:v>
                </c:pt>
                <c:pt idx="1">
                  <c:v>0.30869476974091459</c:v>
                </c:pt>
                <c:pt idx="2">
                  <c:v>0.31434104392379464</c:v>
                </c:pt>
                <c:pt idx="3">
                  <c:v>0.32005403685443262</c:v>
                </c:pt>
                <c:pt idx="4">
                  <c:v>0.32583277742370359</c:v>
                </c:pt>
                <c:pt idx="5">
                  <c:v>0.33167618684548456</c:v>
                </c:pt>
                <c:pt idx="6">
                  <c:v>0.33758307422051148</c:v>
                </c:pt>
                <c:pt idx="7">
                  <c:v>0.34355213202441359</c:v>
                </c:pt>
                <c:pt idx="8">
                  <c:v>0.34958193152534034</c:v>
                </c:pt>
                <c:pt idx="9">
                  <c:v>0.35567091813727847</c:v>
                </c:pt>
                <c:pt idx="10">
                  <c:v>0.36181740671587309</c:v>
                </c:pt>
                <c:pt idx="11">
                  <c:v>0.36801957680432751</c:v>
                </c:pt>
                <c:pt idx="12">
                  <c:v>0.37427546783776217</c:v>
                </c:pt>
                <c:pt idx="13">
                  <c:v>0.38058297431525828</c:v>
                </c:pt>
                <c:pt idx="14">
                  <c:v>0.38693984094970801</c:v>
                </c:pt>
                <c:pt idx="15">
                  <c:v>0.39334365780652869</c:v>
                </c:pt>
                <c:pt idx="16">
                  <c:v>0.39979185544328388</c:v>
                </c:pt>
                <c:pt idx="17">
                  <c:v>0.40628170006328157</c:v>
                </c:pt>
                <c:pt idx="18">
                  <c:v>0.4128102886972988</c:v>
                </c:pt>
                <c:pt idx="19">
                  <c:v>0.41937454442869648</c:v>
                </c:pt>
                <c:pt idx="20">
                  <c:v>0.42597121167836011</c:v>
                </c:pt>
                <c:pt idx="21">
                  <c:v>0.43259685156710292</c:v>
                </c:pt>
                <c:pt idx="22">
                  <c:v>0.43924783737442513</c:v>
                </c:pt>
                <c:pt idx="23">
                  <c:v>0.44592035011380804</c:v>
                </c:pt>
                <c:pt idx="24">
                  <c:v>0.45261037424605399</c:v>
                </c:pt>
                <c:pt idx="25">
                  <c:v>0.4593136935535444</c:v>
                </c:pt>
                <c:pt idx="26">
                  <c:v>0.4660258871996848</c:v>
                </c:pt>
                <c:pt idx="27">
                  <c:v>0.47274232599922783</c:v>
                </c:pt>
                <c:pt idx="28">
                  <c:v>0.47945816892661342</c:v>
                </c:pt>
                <c:pt idx="29">
                  <c:v>0.48616835989092744</c:v>
                </c:pt>
                <c:pt idx="30">
                  <c:v>0.49286762480756041</c:v>
                </c:pt>
                <c:pt idx="31">
                  <c:v>0.49955046899812744</c:v>
                </c:pt>
                <c:pt idx="32">
                  <c:v>0.50621117495169055</c:v>
                </c:pt>
                <c:pt idx="33">
                  <c:v>0.51284380048179645</c:v>
                </c:pt>
                <c:pt idx="34">
                  <c:v>0.51944217731529063</c:v>
                </c:pt>
                <c:pt idx="35">
                  <c:v>0.52599991015028802</c:v>
                </c:pt>
                <c:pt idx="36">
                  <c:v>0.53251037622205832</c:v>
                </c:pt>
                <c:pt idx="37">
                  <c:v>0.53896672541690671</c:v>
                </c:pt>
                <c:pt idx="38">
                  <c:v>0.5453618809753884</c:v>
                </c:pt>
                <c:pt idx="39">
                  <c:v>0.55168854082736696</c:v>
                </c:pt>
                <c:pt idx="40">
                  <c:v>0.55793917960249939</c:v>
                </c:pt>
                <c:pt idx="41">
                  <c:v>0.56410605136069536</c:v>
                </c:pt>
                <c:pt idx="42">
                  <c:v>0.57018119308791826</c:v>
                </c:pt>
                <c:pt idx="43">
                  <c:v>0.57615642900337249</c:v>
                </c:pt>
                <c:pt idx="44">
                  <c:v>0.58202337572461393</c:v>
                </c:pt>
                <c:pt idx="45">
                  <c:v>0.58777344833742973</c:v>
                </c:pt>
                <c:pt idx="46">
                  <c:v>0.59339786741740808</c:v>
                </c:pt>
                <c:pt idx="47">
                  <c:v>0.59888766704996366</c:v>
                </c:pt>
                <c:pt idx="48">
                  <c:v>0.60423370389515096</c:v>
                </c:pt>
                <c:pt idx="49">
                  <c:v>0.60942666734286965</c:v>
                </c:pt>
                <c:pt idx="50">
                  <c:v>0.61445709080302158</c:v>
                </c:pt>
                <c:pt idx="51">
                  <c:v>0.61931536417377375</c:v>
                </c:pt>
                <c:pt idx="52">
                  <c:v>0.62399174752930309</c:v>
                </c:pt>
                <c:pt idx="53">
                  <c:v>0.62847638606620781</c:v>
                </c:pt>
                <c:pt idx="54">
                  <c:v>0.63275932634514043</c:v>
                </c:pt>
                <c:pt idx="55">
                  <c:v>0.63683053386112343</c:v>
                </c:pt>
                <c:pt idx="56">
                  <c:v>0.6406799119724047</c:v>
                </c:pt>
                <c:pt idx="57">
                  <c:v>0.64429732221359726</c:v>
                </c:pt>
                <c:pt idx="58">
                  <c:v>0.64767260601416587</c:v>
                </c:pt>
                <c:pt idx="59">
                  <c:v>0.65079560783806301</c:v>
                </c:pt>
                <c:pt idx="60">
                  <c:v>0.65365619975445899</c:v>
                </c:pt>
                <c:pt idx="61">
                  <c:v>0.65624430744301232</c:v>
                </c:pt>
                <c:pt idx="62">
                  <c:v>0.6585499376299897</c:v>
                </c:pt>
                <c:pt idx="63">
                  <c:v>0.66056320694373527</c:v>
                </c:pt>
                <c:pt idx="64">
                  <c:v>0.66227437216950413</c:v>
                </c:pt>
                <c:pt idx="65">
                  <c:v>0.66367386187450628</c:v>
                </c:pt>
                <c:pt idx="66">
                  <c:v>0.66475230936413821</c:v>
                </c:pt>
                <c:pt idx="67">
                  <c:v>0.6655005869198386</c:v>
                </c:pt>
                <c:pt idx="68">
                  <c:v>0.66590984125776753</c:v>
                </c:pt>
                <c:pt idx="69">
                  <c:v>0.66597153013562449</c:v>
                </c:pt>
                <c:pt idx="70">
                  <c:v>0.66567746002238815</c:v>
                </c:pt>
                <c:pt idx="71">
                  <c:v>0.66501982473263277</c:v>
                </c:pt>
                <c:pt idx="72">
                  <c:v>0.66399124491337902</c:v>
                </c:pt>
                <c:pt idx="73">
                  <c:v>0.66258480825723809</c:v>
                </c:pt>
                <c:pt idx="74">
                  <c:v>0.6607941103009688</c:v>
                </c:pt>
                <c:pt idx="75">
                  <c:v>0.65861329565355342</c:v>
                </c:pt>
                <c:pt idx="76">
                  <c:v>0.65603709948261724</c:v>
                </c:pt>
                <c:pt idx="77">
                  <c:v>0.65306088907256377</c:v>
                </c:pt>
                <c:pt idx="78">
                  <c:v>0.64968070525227462</c:v>
                </c:pt>
                <c:pt idx="79">
                  <c:v>0.64589330347479401</c:v>
                </c:pt>
                <c:pt idx="80">
                  <c:v>0.64169619431619596</c:v>
                </c:pt>
                <c:pt idx="81">
                  <c:v>0.63708768314598718</c:v>
                </c:pt>
                <c:pt idx="82">
                  <c:v>0.63206690870712201</c:v>
                </c:pt>
                <c:pt idx="83">
                  <c:v>0.62663388033015521</c:v>
                </c:pt>
                <c:pt idx="84">
                  <c:v>0.62078951349346467</c:v>
                </c:pt>
                <c:pt idx="85">
                  <c:v>0.61453566343003307</c:v>
                </c:pt>
                <c:pt idx="86">
                  <c:v>0.6078751564712298</c:v>
                </c:pt>
                <c:pt idx="87">
                  <c:v>0.60081181880960588</c:v>
                </c:pt>
                <c:pt idx="88">
                  <c:v>0.59335050235615272</c:v>
                </c:pt>
                <c:pt idx="89">
                  <c:v>0.5854971073630505</c:v>
                </c:pt>
                <c:pt idx="90">
                  <c:v>0.57725860148086938</c:v>
                </c:pt>
                <c:pt idx="91">
                  <c:v>0.5686430349197753</c:v>
                </c:pt>
                <c:pt idx="92">
                  <c:v>0.5596595513877648</c:v>
                </c:pt>
                <c:pt idx="93">
                  <c:v>0.5503183944855794</c:v>
                </c:pt>
                <c:pt idx="94">
                  <c:v>0.54063090924794766</c:v>
                </c:pt>
                <c:pt idx="95">
                  <c:v>0.53060953853441228</c:v>
                </c:pt>
                <c:pt idx="96">
                  <c:v>0.52026781399043376</c:v>
                </c:pt>
                <c:pt idx="97">
                  <c:v>0.50962034132086498</c:v>
                </c:pt>
                <c:pt idx="98">
                  <c:v>0.49868277964346475</c:v>
                </c:pt>
                <c:pt idx="99">
                  <c:v>0.48747181471993173</c:v>
                </c:pt>
                <c:pt idx="100">
                  <c:v>0.47600512589608285</c:v>
                </c:pt>
                <c:pt idx="101">
                  <c:v>0.46430134662130906</c:v>
                </c:pt>
                <c:pt idx="102">
                  <c:v>0.45238001846024145</c:v>
                </c:pt>
                <c:pt idx="103">
                  <c:v>0.44026153855662081</c:v>
                </c:pt>
                <c:pt idx="104">
                  <c:v>0.42796710056046261</c:v>
                </c:pt>
                <c:pt idx="105">
                  <c:v>0.41551862908455595</c:v>
                </c:pt>
                <c:pt idx="106">
                  <c:v>0.40293870781482322</c:v>
                </c:pt>
                <c:pt idx="107">
                  <c:v>0.39025050146068035</c:v>
                </c:pt>
                <c:pt idx="108">
                  <c:v>0.37747767179583325</c:v>
                </c:pt>
                <c:pt idx="109">
                  <c:v>0.36464428810637317</c:v>
                </c:pt>
                <c:pt idx="110">
                  <c:v>0.35177473243092294</c:v>
                </c:pt>
                <c:pt idx="111">
                  <c:v>0.33889360004624092</c:v>
                </c:pt>
                <c:pt idx="112">
                  <c:v>0.32602559572030665</c:v>
                </c:pt>
                <c:pt idx="113">
                  <c:v>0.31319542632257569</c:v>
                </c:pt>
                <c:pt idx="114">
                  <c:v>0.30042769044690465</c:v>
                </c:pt>
                <c:pt idx="115">
                  <c:v>0.28774676576553976</c:v>
                </c:pt>
                <c:pt idx="116">
                  <c:v>0.27517669489151553</c:v>
                </c:pt>
                <c:pt idx="117">
                  <c:v>0.26274107058071139</c:v>
                </c:pt>
                <c:pt idx="118">
                  <c:v>0.25046292115253382</c:v>
                </c:pt>
                <c:pt idx="119">
                  <c:v>0.23836459704862875</c:v>
                </c:pt>
                <c:pt idx="120">
                  <c:v>0.22646765948107159</c:v>
                </c:pt>
                <c:pt idx="121">
                  <c:v>0.21479277214406126</c:v>
                </c:pt>
                <c:pt idx="122">
                  <c:v>0.20335959697528602</c:v>
                </c:pt>
                <c:pt idx="123">
                  <c:v>0.19218669495389365</c:v>
                </c:pt>
                <c:pt idx="124">
                  <c:v>0.18129143291061647</c:v>
                </c:pt>
                <c:pt idx="125">
                  <c:v>0.17068989730141723</c:v>
                </c:pt>
                <c:pt idx="126">
                  <c:v>0.16039681585853996</c:v>
                </c:pt>
                <c:pt idx="127">
                  <c:v>0.15042548798179228</c:v>
                </c:pt>
                <c:pt idx="128">
                  <c:v>0.14078772466817441</c:v>
                </c:pt>
                <c:pt idx="129">
                  <c:v>0.13149379869975183</c:v>
                </c:pt>
                <c:pt idx="130">
                  <c:v>0.12255240571838788</c:v>
                </c:pt>
                <c:pt idx="131">
                  <c:v>0.11397063671225111</c:v>
                </c:pt>
                <c:pt idx="132">
                  <c:v>0.10575396232388382</c:v>
                </c:pt>
                <c:pt idx="133">
                  <c:v>9.7906229264276737E-2</c:v>
                </c:pt>
                <c:pt idx="134">
                  <c:v>9.0429668983343231E-2</c:v>
                </c:pt>
                <c:pt idx="135">
                  <c:v>8.3324918606215589E-2</c:v>
                </c:pt>
                <c:pt idx="136">
                  <c:v>7.6591053998884731E-2</c:v>
                </c:pt>
                <c:pt idx="137">
                  <c:v>7.0225634678114379E-2</c:v>
                </c:pt>
                <c:pt idx="138">
                  <c:v>6.4224760131699782E-2</c:v>
                </c:pt>
                <c:pt idx="139">
                  <c:v>5.8583136968544551E-2</c:v>
                </c:pt>
                <c:pt idx="140">
                  <c:v>5.3294156176362288E-2</c:v>
                </c:pt>
                <c:pt idx="141">
                  <c:v>4.8349979630744819E-2</c:v>
                </c:pt>
                <c:pt idx="142">
                  <c:v>4.3741634875535312E-2</c:v>
                </c:pt>
                <c:pt idx="143">
                  <c:v>3.9459117083479524E-2</c:v>
                </c:pt>
                <c:pt idx="144">
                  <c:v>3.5491497010416068E-2</c:v>
                </c:pt>
                <c:pt idx="145">
                  <c:v>3.18270336779981E-2</c:v>
                </c:pt>
                <c:pt idx="146">
                  <c:v>2.8453290461030442E-2</c:v>
                </c:pt>
                <c:pt idx="147">
                  <c:v>2.5357253217504452E-2</c:v>
                </c:pt>
                <c:pt idx="148">
                  <c:v>2.252544908347413E-2</c:v>
                </c:pt>
                <c:pt idx="149">
                  <c:v>1.9944064561738115E-2</c:v>
                </c:pt>
                <c:pt idx="150">
                  <c:v>1.7599061563066593E-2</c:v>
                </c:pt>
                <c:pt idx="151">
                  <c:v>1.5476290111137991E-2</c:v>
                </c:pt>
                <c:pt idx="152">
                  <c:v>1.3561596496570094E-2</c:v>
                </c:pt>
                <c:pt idx="153">
                  <c:v>1.1840925760077631E-2</c:v>
                </c:pt>
                <c:pt idx="154">
                  <c:v>1.0300417497988476E-2</c:v>
                </c:pt>
                <c:pt idx="155">
                  <c:v>8.926494112745308E-3</c:v>
                </c:pt>
                <c:pt idx="156">
                  <c:v>7.7059407738512432E-3</c:v>
                </c:pt>
                <c:pt idx="157">
                  <c:v>6.6259765078624548E-3</c:v>
                </c:pt>
                <c:pt idx="158">
                  <c:v>5.6743159960998468E-3</c:v>
                </c:pt>
                <c:pt idx="159">
                  <c:v>4.8392218221772823E-3</c:v>
                </c:pt>
                <c:pt idx="160">
                  <c:v>4.1095470745805681E-3</c:v>
                </c:pt>
                <c:pt idx="161">
                  <c:v>3.474768368754144E-3</c:v>
                </c:pt>
                <c:pt idx="162">
                  <c:v>2.9250095049790713E-3</c:v>
                </c:pt>
                <c:pt idx="163">
                  <c:v>2.4510561195014743E-3</c:v>
                </c:pt>
                <c:pt idx="164">
                  <c:v>2.0443618139810837E-3</c:v>
                </c:pt>
                <c:pt idx="165">
                  <c:v>1.6970463598802545E-3</c:v>
                </c:pt>
                <c:pt idx="166">
                  <c:v>1.4018866679026871E-3</c:v>
                </c:pt>
                <c:pt idx="167">
                  <c:v>1.1523012865702839E-3</c:v>
                </c:pt>
                <c:pt idx="168">
                  <c:v>9.4232924763010869E-4</c:v>
                </c:pt>
                <c:pt idx="169">
                  <c:v>7.6660410895097806E-4</c:v>
                </c:pt>
                <c:pt idx="170">
                  <c:v>6.2032405823268073E-4</c:v>
                </c:pt>
                <c:pt idx="171">
                  <c:v>4.9921893410966186E-4</c:v>
                </c:pt>
                <c:pt idx="172">
                  <c:v>3.9951499650224092E-4</c:v>
                </c:pt>
                <c:pt idx="173">
                  <c:v>3.1789823721981969E-4</c:v>
                </c:pt>
                <c:pt idx="174">
                  <c:v>2.5147696708777151E-4</c:v>
                </c:pt>
                <c:pt idx="175">
                  <c:v>1.9774434976451335E-4</c:v>
                </c:pt>
                <c:pt idx="176">
                  <c:v>1.5454147762269431E-4</c:v>
                </c:pt>
                <c:pt idx="177">
                  <c:v>1.2002150434519032E-4</c:v>
                </c:pt>
                <c:pt idx="178">
                  <c:v>9.2615264958970569E-5</c:v>
                </c:pt>
                <c:pt idx="179">
                  <c:v>7.0998729499415763E-5</c:v>
                </c:pt>
                <c:pt idx="180">
                  <c:v>5.4062553756615613E-5</c:v>
                </c:pt>
                <c:pt idx="181">
                  <c:v>4.0883911716092286E-5</c:v>
                </c:pt>
                <c:pt idx="182">
                  <c:v>3.0700721148088722E-5</c:v>
                </c:pt>
                <c:pt idx="183">
                  <c:v>2.2888307730238988E-5</c:v>
                </c:pt>
                <c:pt idx="184">
                  <c:v>1.6938495128393712E-5</c:v>
                </c:pt>
                <c:pt idx="185">
                  <c:v>1.2441059241487396E-5</c:v>
                </c:pt>
                <c:pt idx="186">
                  <c:v>9.0674445992125666E-6</c:v>
                </c:pt>
                <c:pt idx="187">
                  <c:v>6.5566096062701996E-6</c:v>
                </c:pt>
                <c:pt idx="188">
                  <c:v>4.7028445773128155E-6</c:v>
                </c:pt>
                <c:pt idx="189">
                  <c:v>3.3453916798959014E-6</c:v>
                </c:pt>
                <c:pt idx="190">
                  <c:v>2.3596881873247106E-6</c:v>
                </c:pt>
                <c:pt idx="191">
                  <c:v>1.6500528970684534E-6</c:v>
                </c:pt>
                <c:pt idx="192">
                  <c:v>1.1436391775582719E-6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03-4AFE-A35E-761EE751A948}"/>
            </c:ext>
          </c:extLst>
        </c:ser>
        <c:ser>
          <c:idx val="3"/>
          <c:order val="3"/>
          <c:tx>
            <c:v>Gini = 0.4, η = 1.114829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DensLorenzDat!$A$10:$A$202</c:f>
              <c:numCache>
                <c:formatCode>General</c:formatCode>
                <c:ptCount val="193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  <c:pt idx="65">
                  <c:v>1.015625</c:v>
                </c:pt>
                <c:pt idx="66">
                  <c:v>1.03125</c:v>
                </c:pt>
                <c:pt idx="67">
                  <c:v>1.046875</c:v>
                </c:pt>
                <c:pt idx="68">
                  <c:v>1.0625</c:v>
                </c:pt>
                <c:pt idx="69">
                  <c:v>1.078125</c:v>
                </c:pt>
                <c:pt idx="70">
                  <c:v>1.09375</c:v>
                </c:pt>
                <c:pt idx="71">
                  <c:v>1.109375</c:v>
                </c:pt>
                <c:pt idx="72">
                  <c:v>1.125</c:v>
                </c:pt>
                <c:pt idx="73">
                  <c:v>1.140625</c:v>
                </c:pt>
                <c:pt idx="74">
                  <c:v>1.15625</c:v>
                </c:pt>
                <c:pt idx="75">
                  <c:v>1.171875</c:v>
                </c:pt>
                <c:pt idx="76">
                  <c:v>1.1875</c:v>
                </c:pt>
                <c:pt idx="77">
                  <c:v>1.203125</c:v>
                </c:pt>
                <c:pt idx="78">
                  <c:v>1.21875</c:v>
                </c:pt>
                <c:pt idx="79">
                  <c:v>1.234375</c:v>
                </c:pt>
                <c:pt idx="80">
                  <c:v>1.25</c:v>
                </c:pt>
                <c:pt idx="81">
                  <c:v>1.265625</c:v>
                </c:pt>
                <c:pt idx="82">
                  <c:v>1.28125</c:v>
                </c:pt>
                <c:pt idx="83">
                  <c:v>1.296875</c:v>
                </c:pt>
                <c:pt idx="84">
                  <c:v>1.3125</c:v>
                </c:pt>
                <c:pt idx="85">
                  <c:v>1.328125</c:v>
                </c:pt>
                <c:pt idx="86">
                  <c:v>1.34375</c:v>
                </c:pt>
                <c:pt idx="87">
                  <c:v>1.359375</c:v>
                </c:pt>
                <c:pt idx="88">
                  <c:v>1.375</c:v>
                </c:pt>
                <c:pt idx="89">
                  <c:v>1.390625</c:v>
                </c:pt>
                <c:pt idx="90">
                  <c:v>1.40625</c:v>
                </c:pt>
                <c:pt idx="91">
                  <c:v>1.421875</c:v>
                </c:pt>
                <c:pt idx="92">
                  <c:v>1.4375</c:v>
                </c:pt>
                <c:pt idx="93">
                  <c:v>1.453125</c:v>
                </c:pt>
                <c:pt idx="94">
                  <c:v>1.46875</c:v>
                </c:pt>
                <c:pt idx="95">
                  <c:v>1.484375</c:v>
                </c:pt>
                <c:pt idx="96">
                  <c:v>1.5</c:v>
                </c:pt>
                <c:pt idx="97">
                  <c:v>1.515625</c:v>
                </c:pt>
                <c:pt idx="98">
                  <c:v>1.53125</c:v>
                </c:pt>
                <c:pt idx="99">
                  <c:v>1.546875</c:v>
                </c:pt>
                <c:pt idx="100">
                  <c:v>1.5625</c:v>
                </c:pt>
                <c:pt idx="101">
                  <c:v>1.578125</c:v>
                </c:pt>
                <c:pt idx="102">
                  <c:v>1.59375</c:v>
                </c:pt>
                <c:pt idx="103">
                  <c:v>1.609375</c:v>
                </c:pt>
                <c:pt idx="104">
                  <c:v>1.625</c:v>
                </c:pt>
                <c:pt idx="105">
                  <c:v>1.640625</c:v>
                </c:pt>
                <c:pt idx="106">
                  <c:v>1.65625</c:v>
                </c:pt>
                <c:pt idx="107">
                  <c:v>1.671875</c:v>
                </c:pt>
                <c:pt idx="108">
                  <c:v>1.6875</c:v>
                </c:pt>
                <c:pt idx="109">
                  <c:v>1.703125</c:v>
                </c:pt>
                <c:pt idx="110">
                  <c:v>1.71875</c:v>
                </c:pt>
                <c:pt idx="111">
                  <c:v>1.734375</c:v>
                </c:pt>
                <c:pt idx="112">
                  <c:v>1.75</c:v>
                </c:pt>
                <c:pt idx="113">
                  <c:v>1.765625</c:v>
                </c:pt>
                <c:pt idx="114">
                  <c:v>1.78125</c:v>
                </c:pt>
                <c:pt idx="115">
                  <c:v>1.796875</c:v>
                </c:pt>
                <c:pt idx="116">
                  <c:v>1.8125</c:v>
                </c:pt>
                <c:pt idx="117">
                  <c:v>1.828125</c:v>
                </c:pt>
                <c:pt idx="118">
                  <c:v>1.84375</c:v>
                </c:pt>
                <c:pt idx="119">
                  <c:v>1.859375</c:v>
                </c:pt>
                <c:pt idx="120">
                  <c:v>1.875</c:v>
                </c:pt>
                <c:pt idx="121">
                  <c:v>1.890625</c:v>
                </c:pt>
                <c:pt idx="122">
                  <c:v>1.90625</c:v>
                </c:pt>
                <c:pt idx="123">
                  <c:v>1.921875</c:v>
                </c:pt>
                <c:pt idx="124">
                  <c:v>1.9375</c:v>
                </c:pt>
                <c:pt idx="125">
                  <c:v>1.953125</c:v>
                </c:pt>
                <c:pt idx="126">
                  <c:v>1.96875</c:v>
                </c:pt>
                <c:pt idx="127">
                  <c:v>1.984375</c:v>
                </c:pt>
                <c:pt idx="128">
                  <c:v>2</c:v>
                </c:pt>
                <c:pt idx="129">
                  <c:v>2.015625</c:v>
                </c:pt>
                <c:pt idx="130">
                  <c:v>2.03125</c:v>
                </c:pt>
                <c:pt idx="131">
                  <c:v>2.046875</c:v>
                </c:pt>
                <c:pt idx="132">
                  <c:v>2.0625</c:v>
                </c:pt>
                <c:pt idx="133">
                  <c:v>2.078125</c:v>
                </c:pt>
                <c:pt idx="134">
                  <c:v>2.09375</c:v>
                </c:pt>
                <c:pt idx="135">
                  <c:v>2.109375</c:v>
                </c:pt>
                <c:pt idx="136">
                  <c:v>2.125</c:v>
                </c:pt>
                <c:pt idx="137">
                  <c:v>2.140625</c:v>
                </c:pt>
                <c:pt idx="138">
                  <c:v>2.15625</c:v>
                </c:pt>
                <c:pt idx="139">
                  <c:v>2.171875</c:v>
                </c:pt>
                <c:pt idx="140">
                  <c:v>2.1875</c:v>
                </c:pt>
                <c:pt idx="141">
                  <c:v>2.203125</c:v>
                </c:pt>
                <c:pt idx="142">
                  <c:v>2.21875</c:v>
                </c:pt>
                <c:pt idx="143">
                  <c:v>2.234375</c:v>
                </c:pt>
                <c:pt idx="144">
                  <c:v>2.25</c:v>
                </c:pt>
                <c:pt idx="145">
                  <c:v>2.265625</c:v>
                </c:pt>
                <c:pt idx="146">
                  <c:v>2.28125</c:v>
                </c:pt>
                <c:pt idx="147">
                  <c:v>2.296875</c:v>
                </c:pt>
                <c:pt idx="148">
                  <c:v>2.3125</c:v>
                </c:pt>
                <c:pt idx="149">
                  <c:v>2.328125</c:v>
                </c:pt>
                <c:pt idx="150">
                  <c:v>2.34375</c:v>
                </c:pt>
                <c:pt idx="151">
                  <c:v>2.359375</c:v>
                </c:pt>
                <c:pt idx="152">
                  <c:v>2.375</c:v>
                </c:pt>
                <c:pt idx="153">
                  <c:v>2.390625</c:v>
                </c:pt>
                <c:pt idx="154">
                  <c:v>2.40625</c:v>
                </c:pt>
                <c:pt idx="155">
                  <c:v>2.421875</c:v>
                </c:pt>
                <c:pt idx="156">
                  <c:v>2.4375</c:v>
                </c:pt>
                <c:pt idx="157">
                  <c:v>2.453125</c:v>
                </c:pt>
                <c:pt idx="158">
                  <c:v>2.46875</c:v>
                </c:pt>
                <c:pt idx="159">
                  <c:v>2.484375</c:v>
                </c:pt>
                <c:pt idx="160">
                  <c:v>2.5</c:v>
                </c:pt>
                <c:pt idx="161">
                  <c:v>2.515625</c:v>
                </c:pt>
                <c:pt idx="162">
                  <c:v>2.53125</c:v>
                </c:pt>
                <c:pt idx="163">
                  <c:v>2.546875</c:v>
                </c:pt>
                <c:pt idx="164">
                  <c:v>2.5625</c:v>
                </c:pt>
                <c:pt idx="165">
                  <c:v>2.578125</c:v>
                </c:pt>
                <c:pt idx="166">
                  <c:v>2.59375</c:v>
                </c:pt>
                <c:pt idx="167">
                  <c:v>2.609375</c:v>
                </c:pt>
                <c:pt idx="168">
                  <c:v>2.625</c:v>
                </c:pt>
                <c:pt idx="169">
                  <c:v>2.640625</c:v>
                </c:pt>
                <c:pt idx="170">
                  <c:v>2.65625</c:v>
                </c:pt>
                <c:pt idx="171">
                  <c:v>2.671875</c:v>
                </c:pt>
                <c:pt idx="172">
                  <c:v>2.6875</c:v>
                </c:pt>
                <c:pt idx="173">
                  <c:v>2.703125</c:v>
                </c:pt>
                <c:pt idx="174">
                  <c:v>2.71875</c:v>
                </c:pt>
                <c:pt idx="175">
                  <c:v>2.734375</c:v>
                </c:pt>
                <c:pt idx="176">
                  <c:v>2.75</c:v>
                </c:pt>
                <c:pt idx="177">
                  <c:v>2.765625</c:v>
                </c:pt>
                <c:pt idx="178">
                  <c:v>2.78125</c:v>
                </c:pt>
                <c:pt idx="179">
                  <c:v>2.796875</c:v>
                </c:pt>
                <c:pt idx="180">
                  <c:v>2.8125</c:v>
                </c:pt>
                <c:pt idx="181">
                  <c:v>2.828125</c:v>
                </c:pt>
                <c:pt idx="182">
                  <c:v>2.84375</c:v>
                </c:pt>
                <c:pt idx="183">
                  <c:v>2.859375</c:v>
                </c:pt>
                <c:pt idx="184">
                  <c:v>2.875</c:v>
                </c:pt>
                <c:pt idx="185">
                  <c:v>2.890625</c:v>
                </c:pt>
                <c:pt idx="186">
                  <c:v>2.90625</c:v>
                </c:pt>
                <c:pt idx="187">
                  <c:v>2.921875</c:v>
                </c:pt>
                <c:pt idx="188">
                  <c:v>2.9375</c:v>
                </c:pt>
                <c:pt idx="189">
                  <c:v>2.953125</c:v>
                </c:pt>
                <c:pt idx="190">
                  <c:v>2.96875</c:v>
                </c:pt>
                <c:pt idx="191">
                  <c:v>2.984375</c:v>
                </c:pt>
                <c:pt idx="192">
                  <c:v>3</c:v>
                </c:pt>
              </c:numCache>
            </c:numRef>
          </c:xVal>
          <c:yVal>
            <c:numRef>
              <c:f>DensLorenzDat!$E$10:$E$202</c:f>
              <c:numCache>
                <c:formatCode>General</c:formatCode>
                <c:ptCount val="193"/>
                <c:pt idx="0">
                  <c:v>0.61717397457364009</c:v>
                </c:pt>
                <c:pt idx="1">
                  <c:v>0.61653546261447456</c:v>
                </c:pt>
                <c:pt idx="2">
                  <c:v>0.61584579135121431</c:v>
                </c:pt>
                <c:pt idx="3">
                  <c:v>0.61510468437189936</c:v>
                </c:pt>
                <c:pt idx="4">
                  <c:v>0.61431187634041984</c:v>
                </c:pt>
                <c:pt idx="5">
                  <c:v>0.61346711328654135</c:v>
                </c:pt>
                <c:pt idx="6">
                  <c:v>0.6125701528958547</c:v>
                </c:pt>
                <c:pt idx="7">
                  <c:v>0.61162076479944794</c:v>
                </c:pt>
                <c:pt idx="8">
                  <c:v>0.61061873086309337</c:v>
                </c:pt>
                <c:pt idx="9">
                  <c:v>0.6095638454757355</c:v>
                </c:pt>
                <c:pt idx="10">
                  <c:v>0.60845591583706038</c:v>
                </c:pt>
                <c:pt idx="11">
                  <c:v>0.60729476224392387</c:v>
                </c:pt>
                <c:pt idx="12">
                  <c:v>0.60608021837540349</c:v>
                </c:pt>
                <c:pt idx="13">
                  <c:v>0.60481213157624414</c:v>
                </c:pt>
                <c:pt idx="14">
                  <c:v>0.60349036313845072</c:v>
                </c:pt>
                <c:pt idx="15">
                  <c:v>0.60211478858078304</c:v>
                </c:pt>
                <c:pt idx="16">
                  <c:v>0.60068529792590297</c:v>
                </c:pt>
                <c:pt idx="17">
                  <c:v>0.59920179597491219</c:v>
                </c:pt>
                <c:pt idx="18">
                  <c:v>0.59766420257902075</c:v>
                </c:pt>
                <c:pt idx="19">
                  <c:v>0.59607245290807798</c:v>
                </c:pt>
                <c:pt idx="20">
                  <c:v>0.59442649771569478</c:v>
                </c:pt>
                <c:pt idx="21">
                  <c:v>0.59272630360067657</c:v>
                </c:pt>
                <c:pt idx="22">
                  <c:v>0.59097185326448998</c:v>
                </c:pt>
                <c:pt idx="23">
                  <c:v>0.58916314576447204</c:v>
                </c:pt>
                <c:pt idx="24">
                  <c:v>0.58730019676249479</c:v>
                </c:pt>
                <c:pt idx="25">
                  <c:v>0.58538303876878972</c:v>
                </c:pt>
                <c:pt idx="26">
                  <c:v>0.58341172138063135</c:v>
                </c:pt>
                <c:pt idx="27">
                  <c:v>0.58138631151558195</c:v>
                </c:pt>
                <c:pt idx="28">
                  <c:v>0.57930689363898669</c:v>
                </c:pt>
                <c:pt idx="29">
                  <c:v>0.57717356998541336</c:v>
                </c:pt>
                <c:pt idx="30">
                  <c:v>0.57498646077372373</c:v>
                </c:pt>
                <c:pt idx="31">
                  <c:v>0.57274570441546058</c:v>
                </c:pt>
                <c:pt idx="32">
                  <c:v>0.57045145771623484</c:v>
                </c:pt>
                <c:pt idx="33">
                  <c:v>0.56810389606979084</c:v>
                </c:pt>
                <c:pt idx="34">
                  <c:v>0.56570321364443044</c:v>
                </c:pt>
                <c:pt idx="35">
                  <c:v>0.56324962356147101</c:v>
                </c:pt>
                <c:pt idx="36">
                  <c:v>0.56074335806541353</c:v>
                </c:pt>
                <c:pt idx="37">
                  <c:v>0.55818466868549421</c:v>
                </c:pt>
                <c:pt idx="38">
                  <c:v>0.55557382638829622</c:v>
                </c:pt>
                <c:pt idx="39">
                  <c:v>0.55291112172109158</c:v>
                </c:pt>
                <c:pt idx="40">
                  <c:v>0.55019686494558839</c:v>
                </c:pt>
                <c:pt idx="41">
                  <c:v>0.54743138616175868</c:v>
                </c:pt>
                <c:pt idx="42">
                  <c:v>0.54461503542142065</c:v>
                </c:pt>
                <c:pt idx="43">
                  <c:v>0.54174818283125081</c:v>
                </c:pt>
                <c:pt idx="44">
                  <c:v>0.53883121864490657</c:v>
                </c:pt>
                <c:pt idx="45">
                  <c:v>0.53586455334393757</c:v>
                </c:pt>
                <c:pt idx="46">
                  <c:v>0.53284861770716974</c:v>
                </c:pt>
                <c:pt idx="47">
                  <c:v>0.52978386286824675</c:v>
                </c:pt>
                <c:pt idx="48">
                  <c:v>0.52667076036101967</c:v>
                </c:pt>
                <c:pt idx="49">
                  <c:v>0.52350980215247944</c:v>
                </c:pt>
                <c:pt idx="50">
                  <c:v>0.52030150066292724</c:v>
                </c:pt>
                <c:pt idx="51">
                  <c:v>0.51704638877308851</c:v>
                </c:pt>
                <c:pt idx="52">
                  <c:v>0.51374501981787923</c:v>
                </c:pt>
                <c:pt idx="53">
                  <c:v>0.51039796756653932</c:v>
                </c:pt>
                <c:pt idx="54">
                  <c:v>0.50700582618885326</c:v>
                </c:pt>
                <c:pt idx="55">
                  <c:v>0.50356921020718981</c:v>
                </c:pt>
                <c:pt idx="56">
                  <c:v>0.50008875443409562</c:v>
                </c:pt>
                <c:pt idx="57">
                  <c:v>0.49656511389518759</c:v>
                </c:pt>
                <c:pt idx="58">
                  <c:v>0.49299896373709901</c:v>
                </c:pt>
                <c:pt idx="59">
                  <c:v>0.4893909991202432</c:v>
                </c:pt>
                <c:pt idx="60">
                  <c:v>0.48574193509616631</c:v>
                </c:pt>
                <c:pt idx="61">
                  <c:v>0.48205250646927705</c:v>
                </c:pt>
                <c:pt idx="62">
                  <c:v>0.47832346764274464</c:v>
                </c:pt>
                <c:pt idx="63">
                  <c:v>0.47455559244837708</c:v>
                </c:pt>
                <c:pt idx="64">
                  <c:v>0.47074967396029638</c:v>
                </c:pt>
                <c:pt idx="65">
                  <c:v>0.46690652429224538</c:v>
                </c:pt>
                <c:pt idx="66">
                  <c:v>0.46302697437837353</c:v>
                </c:pt>
                <c:pt idx="67">
                  <c:v>0.45911187373736151</c:v>
                </c:pt>
                <c:pt idx="68">
                  <c:v>0.45516209021976178</c:v>
                </c:pt>
                <c:pt idx="69">
                  <c:v>0.45117850973844748</c:v>
                </c:pt>
                <c:pt idx="70">
                  <c:v>0.44716203598207449</c:v>
                </c:pt>
                <c:pt idx="71">
                  <c:v>0.44311359011148566</c:v>
                </c:pt>
                <c:pt idx="72">
                  <c:v>0.43903411043899548</c:v>
                </c:pt>
                <c:pt idx="73">
                  <c:v>0.4349245520905165</c:v>
                </c:pt>
                <c:pt idx="74">
                  <c:v>0.43078588665050516</c:v>
                </c:pt>
                <c:pt idx="75">
                  <c:v>0.42661910178972501</c:v>
                </c:pt>
                <c:pt idx="76">
                  <c:v>0.42242520087584268</c:v>
                </c:pt>
                <c:pt idx="77">
                  <c:v>0.41820520256689553</c:v>
                </c:pt>
                <c:pt idx="78">
                  <c:v>0.41396014038768553</c:v>
                </c:pt>
                <c:pt idx="79">
                  <c:v>0.40969106228918156</c:v>
                </c:pt>
                <c:pt idx="80">
                  <c:v>0.40539903019102624</c:v>
                </c:pt>
                <c:pt idx="81">
                  <c:v>0.40108511950727349</c:v>
                </c:pt>
                <c:pt idx="82">
                  <c:v>0.39675041865549754</c:v>
                </c:pt>
                <c:pt idx="83">
                  <c:v>0.39239602854944466</c:v>
                </c:pt>
                <c:pt idx="84">
                  <c:v>0.38802306207541454</c:v>
                </c:pt>
                <c:pt idx="85">
                  <c:v>0.38363264355259064</c:v>
                </c:pt>
                <c:pt idx="86">
                  <c:v>0.37922590817755258</c:v>
                </c:pt>
                <c:pt idx="87">
                  <c:v>0.37480400145323817</c:v>
                </c:pt>
                <c:pt idx="88">
                  <c:v>0.37036807860263804</c:v>
                </c:pt>
                <c:pt idx="89">
                  <c:v>0.36591930396754097</c:v>
                </c:pt>
                <c:pt idx="90">
                  <c:v>0.36145885039265857</c:v>
                </c:pt>
                <c:pt idx="91">
                  <c:v>0.35698789859550123</c:v>
                </c:pt>
                <c:pt idx="92">
                  <c:v>0.35250763652238559</c:v>
                </c:pt>
                <c:pt idx="93">
                  <c:v>0.34801925869099076</c:v>
                </c:pt>
                <c:pt idx="94">
                  <c:v>0.34352396551990133</c:v>
                </c:pt>
                <c:pt idx="95">
                  <c:v>0.33902296264559822</c:v>
                </c:pt>
                <c:pt idx="96">
                  <c:v>0.33451746022739293</c:v>
                </c:pt>
                <c:pt idx="97">
                  <c:v>0.33000867224081454</c:v>
                </c:pt>
                <c:pt idx="98">
                  <c:v>0.32549781575999154</c:v>
                </c:pt>
                <c:pt idx="99">
                  <c:v>0.3209861102295965</c:v>
                </c:pt>
                <c:pt idx="100">
                  <c:v>0.31647477672693813</c:v>
                </c:pt>
                <c:pt idx="101">
                  <c:v>0.31196503721482038</c:v>
                </c:pt>
                <c:pt idx="102">
                  <c:v>0.30745811378580651</c:v>
                </c:pt>
                <c:pt idx="103">
                  <c:v>0.30295522789854717</c:v>
                </c:pt>
                <c:pt idx="104">
                  <c:v>0.29845759960686435</c:v>
                </c:pt>
                <c:pt idx="105">
                  <c:v>0.29396644678229655</c:v>
                </c:pt>
                <c:pt idx="106">
                  <c:v>0.28948298433083586</c:v>
                </c:pt>
                <c:pt idx="107">
                  <c:v>0.28500842340461607</c:v>
                </c:pt>
                <c:pt idx="108">
                  <c:v>0.28054397060931613</c:v>
                </c:pt>
                <c:pt idx="109">
                  <c:v>0.27609082720808481</c:v>
                </c:pt>
                <c:pt idx="110">
                  <c:v>0.27165018832279214</c:v>
                </c:pt>
                <c:pt idx="111">
                  <c:v>0.26722324213344451</c:v>
                </c:pt>
                <c:pt idx="112">
                  <c:v>0.26281116907661423</c:v>
                </c:pt>
                <c:pt idx="113">
                  <c:v>0.25841514104375085</c:v>
                </c:pt>
                <c:pt idx="114">
                  <c:v>0.25403632058025621</c:v>
                </c:pt>
                <c:pt idx="115">
                  <c:v>0.249675860086225</c:v>
                </c:pt>
                <c:pt idx="116">
                  <c:v>0.24533490101975911</c:v>
                </c:pt>
                <c:pt idx="117">
                  <c:v>0.24101457310378388</c:v>
                </c:pt>
                <c:pt idx="118">
                  <c:v>0.23671599353729939</c:v>
                </c:pt>
                <c:pt idx="119">
                  <c:v>0.2324402662120123</c:v>
                </c:pt>
                <c:pt idx="120">
                  <c:v>0.22818848093530605</c:v>
                </c:pt>
                <c:pt idx="121">
                  <c:v>0.22396171266050524</c:v>
                </c:pt>
                <c:pt idx="122">
                  <c:v>0.21976102072540732</c:v>
                </c:pt>
                <c:pt idx="123">
                  <c:v>0.21558744810004721</c:v>
                </c:pt>
                <c:pt idx="124">
                  <c:v>0.21144202064467235</c:v>
                </c:pt>
                <c:pt idx="125">
                  <c:v>0.20732574637890358</c:v>
                </c:pt>
                <c:pt idx="126">
                  <c:v>0.20323961476305225</c:v>
                </c:pt>
                <c:pt idx="127">
                  <c:v>0.19918459599256966</c:v>
                </c:pt>
                <c:pt idx="128">
                  <c:v>0.19516164030659533</c:v>
                </c:pt>
                <c:pt idx="129">
                  <c:v>0.19117167731156606</c:v>
                </c:pt>
                <c:pt idx="130">
                  <c:v>0.18721561532084025</c:v>
                </c:pt>
                <c:pt idx="131">
                  <c:v>0.18329434071128384</c:v>
                </c:pt>
                <c:pt idx="132">
                  <c:v>0.17940871729775157</c:v>
                </c:pt>
                <c:pt idx="133">
                  <c:v>0.17555958572638378</c:v>
                </c:pt>
                <c:pt idx="134">
                  <c:v>0.171747762887626</c:v>
                </c:pt>
                <c:pt idx="135">
                  <c:v>0.16797404134985935</c:v>
                </c:pt>
                <c:pt idx="136">
                  <c:v>0.16423918881451355</c:v>
                </c:pt>
                <c:pt idx="137">
                  <c:v>0.16054394759351065</c:v>
                </c:pt>
                <c:pt idx="138">
                  <c:v>0.15688903410986837</c:v>
                </c:pt>
                <c:pt idx="139">
                  <c:v>0.15327513842226465</c:v>
                </c:pt>
                <c:pt idx="140">
                  <c:v>0.14970292377434002</c:v>
                </c:pt>
                <c:pt idx="141">
                  <c:v>0.14617302616948691</c:v>
                </c:pt>
                <c:pt idx="142">
                  <c:v>0.14268605397184198</c:v>
                </c:pt>
                <c:pt idx="143">
                  <c:v>0.1392425875341694</c:v>
                </c:pt>
                <c:pt idx="144">
                  <c:v>0.13584317885328734</c:v>
                </c:pt>
                <c:pt idx="145">
                  <c:v>0.1324883512536528</c:v>
                </c:pt>
                <c:pt idx="146">
                  <c:v>0.12917859909968712</c:v>
                </c:pt>
                <c:pt idx="147">
                  <c:v>0.12591438753738007</c:v>
                </c:pt>
                <c:pt idx="148">
                  <c:v>0.12269615226567562</c:v>
                </c:pt>
                <c:pt idx="149">
                  <c:v>0.119524299338095</c:v>
                </c:pt>
                <c:pt idx="150">
                  <c:v>0.11639920499501284</c:v>
                </c:pt>
                <c:pt idx="151">
                  <c:v>0.11332121552695586</c:v>
                </c:pt>
                <c:pt idx="152">
                  <c:v>0.1102906471692459</c:v>
                </c:pt>
                <c:pt idx="153">
                  <c:v>0.10730778602826466</c:v>
                </c:pt>
                <c:pt idx="154">
                  <c:v>0.10437288803956334</c:v>
                </c:pt>
                <c:pt idx="155">
                  <c:v>0.10148617895799669</c:v>
                </c:pt>
                <c:pt idx="156">
                  <c:v>9.8647854380004646E-2</c:v>
                </c:pt>
                <c:pt idx="157">
                  <c:v>9.5858079798114337E-2</c:v>
                </c:pt>
                <c:pt idx="158">
                  <c:v>9.3116990687684906E-2</c:v>
                </c:pt>
                <c:pt idx="159">
                  <c:v>9.0424692625859227E-2</c:v>
                </c:pt>
                <c:pt idx="160">
                  <c:v>8.7781261442637787E-2</c:v>
                </c:pt>
                <c:pt idx="161">
                  <c:v>8.5186743403930038E-2</c:v>
                </c:pt>
                <c:pt idx="162">
                  <c:v>8.2641155426388779E-2</c:v>
                </c:pt>
                <c:pt idx="163">
                  <c:v>8.0144485323773482E-2</c:v>
                </c:pt>
                <c:pt idx="164">
                  <c:v>7.7696692084535501E-2</c:v>
                </c:pt>
                <c:pt idx="165">
                  <c:v>7.5297706180263269E-2</c:v>
                </c:pt>
                <c:pt idx="166">
                  <c:v>7.2947429904567734E-2</c:v>
                </c:pt>
                <c:pt idx="167">
                  <c:v>7.0645737741936415E-2</c:v>
                </c:pt>
                <c:pt idx="168">
                  <c:v>6.8392476766027874E-2</c:v>
                </c:pt>
                <c:pt idx="169">
                  <c:v>6.6187467066826211E-2</c:v>
                </c:pt>
                <c:pt idx="170">
                  <c:v>6.4030502206020079E-2</c:v>
                </c:pt>
                <c:pt idx="171">
                  <c:v>6.1921349699920088E-2</c:v>
                </c:pt>
                <c:pt idx="172">
                  <c:v>5.9859751529176747E-2</c:v>
                </c:pt>
                <c:pt idx="173">
                  <c:v>5.7845424674508934E-2</c:v>
                </c:pt>
                <c:pt idx="174">
                  <c:v>5.5878061677608275E-2</c:v>
                </c:pt>
                <c:pt idx="175">
                  <c:v>5.3957331226331867E-2</c:v>
                </c:pt>
                <c:pt idx="176">
                  <c:v>5.208287876325373E-2</c:v>
                </c:pt>
                <c:pt idx="177">
                  <c:v>5.0254327116600522E-2</c:v>
                </c:pt>
                <c:pt idx="178">
                  <c:v>4.8471277152551701E-2</c:v>
                </c:pt>
                <c:pt idx="179">
                  <c:v>4.6733308447848003E-2</c:v>
                </c:pt>
                <c:pt idx="180">
                  <c:v>4.503997998161012E-2</c:v>
                </c:pt>
                <c:pt idx="181">
                  <c:v>4.33908308452347E-2</c:v>
                </c:pt>
                <c:pt idx="182">
                  <c:v>4.1785380969201043E-2</c:v>
                </c:pt>
                <c:pt idx="183">
                  <c:v>4.0223131865589068E-2</c:v>
                </c:pt>
                <c:pt idx="184">
                  <c:v>3.8703567385081496E-2</c:v>
                </c:pt>
                <c:pt idx="185">
                  <c:v>3.7226154487195469E-2</c:v>
                </c:pt>
                <c:pt idx="186">
                  <c:v>3.579034402246601E-2</c:v>
                </c:pt>
                <c:pt idx="187">
                  <c:v>3.439557152528222E-2</c:v>
                </c:pt>
                <c:pt idx="188">
                  <c:v>3.3041258016059831E-2</c:v>
                </c:pt>
                <c:pt idx="189">
                  <c:v>3.1726810811417767E-2</c:v>
                </c:pt>
                <c:pt idx="190">
                  <c:v>3.0451624341014689E-2</c:v>
                </c:pt>
                <c:pt idx="191">
                  <c:v>2.9215080969693288E-2</c:v>
                </c:pt>
                <c:pt idx="192">
                  <c:v>2.8016551823572464E-2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03-4AFE-A35E-761EE751A948}"/>
            </c:ext>
          </c:extLst>
        </c:ser>
        <c:ser>
          <c:idx val="4"/>
          <c:order val="4"/>
          <c:tx>
            <c:v>Gini = 0.5, η = ∞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DensLorenzDat!$A$10:$A$202</c:f>
              <c:numCache>
                <c:formatCode>General</c:formatCode>
                <c:ptCount val="193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  <c:pt idx="65">
                  <c:v>1.015625</c:v>
                </c:pt>
                <c:pt idx="66">
                  <c:v>1.03125</c:v>
                </c:pt>
                <c:pt idx="67">
                  <c:v>1.046875</c:v>
                </c:pt>
                <c:pt idx="68">
                  <c:v>1.0625</c:v>
                </c:pt>
                <c:pt idx="69">
                  <c:v>1.078125</c:v>
                </c:pt>
                <c:pt idx="70">
                  <c:v>1.09375</c:v>
                </c:pt>
                <c:pt idx="71">
                  <c:v>1.109375</c:v>
                </c:pt>
                <c:pt idx="72">
                  <c:v>1.125</c:v>
                </c:pt>
                <c:pt idx="73">
                  <c:v>1.140625</c:v>
                </c:pt>
                <c:pt idx="74">
                  <c:v>1.15625</c:v>
                </c:pt>
                <c:pt idx="75">
                  <c:v>1.171875</c:v>
                </c:pt>
                <c:pt idx="76">
                  <c:v>1.1875</c:v>
                </c:pt>
                <c:pt idx="77">
                  <c:v>1.203125</c:v>
                </c:pt>
                <c:pt idx="78">
                  <c:v>1.21875</c:v>
                </c:pt>
                <c:pt idx="79">
                  <c:v>1.234375</c:v>
                </c:pt>
                <c:pt idx="80">
                  <c:v>1.25</c:v>
                </c:pt>
                <c:pt idx="81">
                  <c:v>1.265625</c:v>
                </c:pt>
                <c:pt idx="82">
                  <c:v>1.28125</c:v>
                </c:pt>
                <c:pt idx="83">
                  <c:v>1.296875</c:v>
                </c:pt>
                <c:pt idx="84">
                  <c:v>1.3125</c:v>
                </c:pt>
                <c:pt idx="85">
                  <c:v>1.328125</c:v>
                </c:pt>
                <c:pt idx="86">
                  <c:v>1.34375</c:v>
                </c:pt>
                <c:pt idx="87">
                  <c:v>1.359375</c:v>
                </c:pt>
                <c:pt idx="88">
                  <c:v>1.375</c:v>
                </c:pt>
                <c:pt idx="89">
                  <c:v>1.390625</c:v>
                </c:pt>
                <c:pt idx="90">
                  <c:v>1.40625</c:v>
                </c:pt>
                <c:pt idx="91">
                  <c:v>1.421875</c:v>
                </c:pt>
                <c:pt idx="92">
                  <c:v>1.4375</c:v>
                </c:pt>
                <c:pt idx="93">
                  <c:v>1.453125</c:v>
                </c:pt>
                <c:pt idx="94">
                  <c:v>1.46875</c:v>
                </c:pt>
                <c:pt idx="95">
                  <c:v>1.484375</c:v>
                </c:pt>
                <c:pt idx="96">
                  <c:v>1.5</c:v>
                </c:pt>
                <c:pt idx="97">
                  <c:v>1.515625</c:v>
                </c:pt>
                <c:pt idx="98">
                  <c:v>1.53125</c:v>
                </c:pt>
                <c:pt idx="99">
                  <c:v>1.546875</c:v>
                </c:pt>
                <c:pt idx="100">
                  <c:v>1.5625</c:v>
                </c:pt>
                <c:pt idx="101">
                  <c:v>1.578125</c:v>
                </c:pt>
                <c:pt idx="102">
                  <c:v>1.59375</c:v>
                </c:pt>
                <c:pt idx="103">
                  <c:v>1.609375</c:v>
                </c:pt>
                <c:pt idx="104">
                  <c:v>1.625</c:v>
                </c:pt>
                <c:pt idx="105">
                  <c:v>1.640625</c:v>
                </c:pt>
                <c:pt idx="106">
                  <c:v>1.65625</c:v>
                </c:pt>
                <c:pt idx="107">
                  <c:v>1.671875</c:v>
                </c:pt>
                <c:pt idx="108">
                  <c:v>1.6875</c:v>
                </c:pt>
                <c:pt idx="109">
                  <c:v>1.703125</c:v>
                </c:pt>
                <c:pt idx="110">
                  <c:v>1.71875</c:v>
                </c:pt>
                <c:pt idx="111">
                  <c:v>1.734375</c:v>
                </c:pt>
                <c:pt idx="112">
                  <c:v>1.75</c:v>
                </c:pt>
                <c:pt idx="113">
                  <c:v>1.765625</c:v>
                </c:pt>
                <c:pt idx="114">
                  <c:v>1.78125</c:v>
                </c:pt>
                <c:pt idx="115">
                  <c:v>1.796875</c:v>
                </c:pt>
                <c:pt idx="116">
                  <c:v>1.8125</c:v>
                </c:pt>
                <c:pt idx="117">
                  <c:v>1.828125</c:v>
                </c:pt>
                <c:pt idx="118">
                  <c:v>1.84375</c:v>
                </c:pt>
                <c:pt idx="119">
                  <c:v>1.859375</c:v>
                </c:pt>
                <c:pt idx="120">
                  <c:v>1.875</c:v>
                </c:pt>
                <c:pt idx="121">
                  <c:v>1.890625</c:v>
                </c:pt>
                <c:pt idx="122">
                  <c:v>1.90625</c:v>
                </c:pt>
                <c:pt idx="123">
                  <c:v>1.921875</c:v>
                </c:pt>
                <c:pt idx="124">
                  <c:v>1.9375</c:v>
                </c:pt>
                <c:pt idx="125">
                  <c:v>1.953125</c:v>
                </c:pt>
                <c:pt idx="126">
                  <c:v>1.96875</c:v>
                </c:pt>
                <c:pt idx="127">
                  <c:v>1.984375</c:v>
                </c:pt>
                <c:pt idx="128">
                  <c:v>2</c:v>
                </c:pt>
                <c:pt idx="129">
                  <c:v>2.015625</c:v>
                </c:pt>
                <c:pt idx="130">
                  <c:v>2.03125</c:v>
                </c:pt>
                <c:pt idx="131">
                  <c:v>2.046875</c:v>
                </c:pt>
                <c:pt idx="132">
                  <c:v>2.0625</c:v>
                </c:pt>
                <c:pt idx="133">
                  <c:v>2.078125</c:v>
                </c:pt>
                <c:pt idx="134">
                  <c:v>2.09375</c:v>
                </c:pt>
                <c:pt idx="135">
                  <c:v>2.109375</c:v>
                </c:pt>
                <c:pt idx="136">
                  <c:v>2.125</c:v>
                </c:pt>
                <c:pt idx="137">
                  <c:v>2.140625</c:v>
                </c:pt>
                <c:pt idx="138">
                  <c:v>2.15625</c:v>
                </c:pt>
                <c:pt idx="139">
                  <c:v>2.171875</c:v>
                </c:pt>
                <c:pt idx="140">
                  <c:v>2.1875</c:v>
                </c:pt>
                <c:pt idx="141">
                  <c:v>2.203125</c:v>
                </c:pt>
                <c:pt idx="142">
                  <c:v>2.21875</c:v>
                </c:pt>
                <c:pt idx="143">
                  <c:v>2.234375</c:v>
                </c:pt>
                <c:pt idx="144">
                  <c:v>2.25</c:v>
                </c:pt>
                <c:pt idx="145">
                  <c:v>2.265625</c:v>
                </c:pt>
                <c:pt idx="146">
                  <c:v>2.28125</c:v>
                </c:pt>
                <c:pt idx="147">
                  <c:v>2.296875</c:v>
                </c:pt>
                <c:pt idx="148">
                  <c:v>2.3125</c:v>
                </c:pt>
                <c:pt idx="149">
                  <c:v>2.328125</c:v>
                </c:pt>
                <c:pt idx="150">
                  <c:v>2.34375</c:v>
                </c:pt>
                <c:pt idx="151">
                  <c:v>2.359375</c:v>
                </c:pt>
                <c:pt idx="152">
                  <c:v>2.375</c:v>
                </c:pt>
                <c:pt idx="153">
                  <c:v>2.390625</c:v>
                </c:pt>
                <c:pt idx="154">
                  <c:v>2.40625</c:v>
                </c:pt>
                <c:pt idx="155">
                  <c:v>2.421875</c:v>
                </c:pt>
                <c:pt idx="156">
                  <c:v>2.4375</c:v>
                </c:pt>
                <c:pt idx="157">
                  <c:v>2.453125</c:v>
                </c:pt>
                <c:pt idx="158">
                  <c:v>2.46875</c:v>
                </c:pt>
                <c:pt idx="159">
                  <c:v>2.484375</c:v>
                </c:pt>
                <c:pt idx="160">
                  <c:v>2.5</c:v>
                </c:pt>
                <c:pt idx="161">
                  <c:v>2.515625</c:v>
                </c:pt>
                <c:pt idx="162">
                  <c:v>2.53125</c:v>
                </c:pt>
                <c:pt idx="163">
                  <c:v>2.546875</c:v>
                </c:pt>
                <c:pt idx="164">
                  <c:v>2.5625</c:v>
                </c:pt>
                <c:pt idx="165">
                  <c:v>2.578125</c:v>
                </c:pt>
                <c:pt idx="166">
                  <c:v>2.59375</c:v>
                </c:pt>
                <c:pt idx="167">
                  <c:v>2.609375</c:v>
                </c:pt>
                <c:pt idx="168">
                  <c:v>2.625</c:v>
                </c:pt>
                <c:pt idx="169">
                  <c:v>2.640625</c:v>
                </c:pt>
                <c:pt idx="170">
                  <c:v>2.65625</c:v>
                </c:pt>
                <c:pt idx="171">
                  <c:v>2.671875</c:v>
                </c:pt>
                <c:pt idx="172">
                  <c:v>2.6875</c:v>
                </c:pt>
                <c:pt idx="173">
                  <c:v>2.703125</c:v>
                </c:pt>
                <c:pt idx="174">
                  <c:v>2.71875</c:v>
                </c:pt>
                <c:pt idx="175">
                  <c:v>2.734375</c:v>
                </c:pt>
                <c:pt idx="176">
                  <c:v>2.75</c:v>
                </c:pt>
                <c:pt idx="177">
                  <c:v>2.765625</c:v>
                </c:pt>
                <c:pt idx="178">
                  <c:v>2.78125</c:v>
                </c:pt>
                <c:pt idx="179">
                  <c:v>2.796875</c:v>
                </c:pt>
                <c:pt idx="180">
                  <c:v>2.8125</c:v>
                </c:pt>
                <c:pt idx="181">
                  <c:v>2.828125</c:v>
                </c:pt>
                <c:pt idx="182">
                  <c:v>2.84375</c:v>
                </c:pt>
                <c:pt idx="183">
                  <c:v>2.859375</c:v>
                </c:pt>
                <c:pt idx="184">
                  <c:v>2.875</c:v>
                </c:pt>
                <c:pt idx="185">
                  <c:v>2.890625</c:v>
                </c:pt>
                <c:pt idx="186">
                  <c:v>2.90625</c:v>
                </c:pt>
                <c:pt idx="187">
                  <c:v>2.921875</c:v>
                </c:pt>
                <c:pt idx="188">
                  <c:v>2.9375</c:v>
                </c:pt>
                <c:pt idx="189">
                  <c:v>2.953125</c:v>
                </c:pt>
                <c:pt idx="190">
                  <c:v>2.96875</c:v>
                </c:pt>
                <c:pt idx="191">
                  <c:v>2.984375</c:v>
                </c:pt>
                <c:pt idx="192">
                  <c:v>3</c:v>
                </c:pt>
              </c:numCache>
            </c:numRef>
          </c:xVal>
          <c:yVal>
            <c:numRef>
              <c:f>DensLorenzDat!$F$10:$F$202</c:f>
              <c:numCache>
                <c:formatCode>General</c:formatCode>
                <c:ptCount val="193"/>
                <c:pt idx="0">
                  <c:v>1</c:v>
                </c:pt>
                <c:pt idx="1">
                  <c:v>0.98449643700540845</c:v>
                </c:pt>
                <c:pt idx="2">
                  <c:v>0.96923323447634413</c:v>
                </c:pt>
                <c:pt idx="3">
                  <c:v>0.95420666596918835</c:v>
                </c:pt>
                <c:pt idx="4">
                  <c:v>0.93941306281347581</c:v>
                </c:pt>
                <c:pt idx="5">
                  <c:v>0.92484881321620482</c:v>
                </c:pt>
                <c:pt idx="6">
                  <c:v>0.91051036138003416</c:v>
                </c:pt>
                <c:pt idx="7">
                  <c:v>0.89639420663515046</c:v>
                </c:pt>
                <c:pt idx="8">
                  <c:v>0.88249690258459546</c:v>
                </c:pt>
                <c:pt idx="9">
                  <c:v>0.86881505626284317</c:v>
                </c:pt>
                <c:pt idx="10">
                  <c:v>0.85534532730742252</c:v>
                </c:pt>
                <c:pt idx="11">
                  <c:v>0.84208442714338239</c:v>
                </c:pt>
                <c:pt idx="12">
                  <c:v>0.82902911818040037</c:v>
                </c:pt>
                <c:pt idx="13">
                  <c:v>0.81617621302233978</c:v>
                </c:pt>
                <c:pt idx="14">
                  <c:v>0.80352257368906077</c:v>
                </c:pt>
                <c:pt idx="15">
                  <c:v>0.79106511085029596</c:v>
                </c:pt>
                <c:pt idx="16">
                  <c:v>0.77880078307140488</c:v>
                </c:pt>
                <c:pt idx="17">
                  <c:v>0.76672659607082005</c:v>
                </c:pt>
                <c:pt idx="18">
                  <c:v>0.75483960198900735</c:v>
                </c:pt>
                <c:pt idx="19">
                  <c:v>0.74313689866875832</c:v>
                </c:pt>
                <c:pt idx="20">
                  <c:v>0.73161562894664178</c:v>
                </c:pt>
                <c:pt idx="21">
                  <c:v>0.72027297995543982</c:v>
                </c:pt>
                <c:pt idx="22">
                  <c:v>0.70910618243739842</c:v>
                </c:pt>
                <c:pt idx="23">
                  <c:v>0.6981125100681258</c:v>
                </c:pt>
                <c:pt idx="24">
                  <c:v>0.68728927879097224</c:v>
                </c:pt>
                <c:pt idx="25">
                  <c:v>0.67663384616172895</c:v>
                </c:pt>
                <c:pt idx="26">
                  <c:v>0.66614361070348782</c:v>
                </c:pt>
                <c:pt idx="27">
                  <c:v>0.65581601127150158</c:v>
                </c:pt>
                <c:pt idx="28">
                  <c:v>0.64564852642789206</c:v>
                </c:pt>
                <c:pt idx="29">
                  <c:v>0.63563867382605199</c:v>
                </c:pt>
                <c:pt idx="30">
                  <c:v>0.62578400960459113</c:v>
                </c:pt>
                <c:pt idx="31">
                  <c:v>0.61608212779067828</c:v>
                </c:pt>
                <c:pt idx="32">
                  <c:v>0.60653065971263342</c:v>
                </c:pt>
                <c:pt idx="33">
                  <c:v>0.59712727342162741</c:v>
                </c:pt>
                <c:pt idx="34">
                  <c:v>0.5878696731223465</c:v>
                </c:pt>
                <c:pt idx="35">
                  <c:v>0.57875559861248427</c:v>
                </c:pt>
                <c:pt idx="36">
                  <c:v>0.56978282473092301</c:v>
                </c:pt>
                <c:pt idx="37">
                  <c:v>0.56094916081447077</c:v>
                </c:pt>
                <c:pt idx="38">
                  <c:v>0.55225245016302038</c:v>
                </c:pt>
                <c:pt idx="39">
                  <c:v>0.54369056951300043</c:v>
                </c:pt>
                <c:pt idx="40">
                  <c:v>0.53526142851899028</c:v>
                </c:pt>
                <c:pt idx="41">
                  <c:v>0.52696296924337094</c:v>
                </c:pt>
                <c:pt idx="42">
                  <c:v>0.51879316565388933</c:v>
                </c:pt>
                <c:pt idx="43">
                  <c:v>0.51075002312901074</c:v>
                </c:pt>
                <c:pt idx="44">
                  <c:v>0.50283157797094091</c:v>
                </c:pt>
                <c:pt idx="45">
                  <c:v>0.49503589692619859</c:v>
                </c:pt>
                <c:pt idx="46">
                  <c:v>0.48736107671361911</c:v>
                </c:pt>
                <c:pt idx="47">
                  <c:v>0.47980524355967752</c:v>
                </c:pt>
                <c:pt idx="48">
                  <c:v>0.47236655274101469</c:v>
                </c:pt>
                <c:pt idx="49">
                  <c:v>0.46504318813405632</c:v>
                </c:pt>
                <c:pt idx="50">
                  <c:v>0.45783336177161427</c:v>
                </c:pt>
                <c:pt idx="51">
                  <c:v>0.45073531340636241</c:v>
                </c:pt>
                <c:pt idx="52">
                  <c:v>0.44374731008107987</c:v>
                </c:pt>
                <c:pt idx="53">
                  <c:v>0.43686764570555731</c:v>
                </c:pt>
                <c:pt idx="54">
                  <c:v>0.43009464064006225</c:v>
                </c:pt>
                <c:pt idx="55">
                  <c:v>0.42342664128526281</c:v>
                </c:pt>
                <c:pt idx="56">
                  <c:v>0.41686201967850839</c:v>
                </c:pt>
                <c:pt idx="57">
                  <c:v>0.41039917309636997</c:v>
                </c:pt>
                <c:pt idx="58">
                  <c:v>0.40403652366334208</c:v>
                </c:pt>
                <c:pt idx="59">
                  <c:v>0.39777251796661167</c:v>
                </c:pt>
                <c:pt idx="60">
                  <c:v>0.39160562667679899</c:v>
                </c:pt>
                <c:pt idx="61">
                  <c:v>0.38553434417457871</c:v>
                </c:pt>
                <c:pt idx="62">
                  <c:v>0.37955718818308959</c:v>
                </c:pt>
                <c:pt idx="63">
                  <c:v>0.37367269940604297</c:v>
                </c:pt>
                <c:pt idx="64">
                  <c:v>0.36787944117144233</c:v>
                </c:pt>
                <c:pt idx="65">
                  <c:v>0.36217599908082571</c:v>
                </c:pt>
                <c:pt idx="66">
                  <c:v>0.35656098066394698</c:v>
                </c:pt>
                <c:pt idx="67">
                  <c:v>0.35103301503881013</c:v>
                </c:pt>
                <c:pt idx="68">
                  <c:v>0.34559075257697452</c:v>
                </c:pt>
                <c:pt idx="69">
                  <c:v>0.34023286457404905</c:v>
                </c:pt>
                <c:pt idx="70">
                  <c:v>0.33495804292529496</c:v>
                </c:pt>
                <c:pt idx="71">
                  <c:v>0.32976499980625751</c:v>
                </c:pt>
                <c:pt idx="72">
                  <c:v>0.32465246735834974</c:v>
                </c:pt>
                <c:pt idx="73">
                  <c:v>0.31961919737930994</c:v>
                </c:pt>
                <c:pt idx="74">
                  <c:v>0.314663961018459</c:v>
                </c:pt>
                <c:pt idx="75">
                  <c:v>0.30978554847668166</c:v>
                </c:pt>
                <c:pt idx="76">
                  <c:v>0.30498276871105928</c:v>
                </c:pt>
                <c:pt idx="77">
                  <c:v>0.30025444914408245</c:v>
                </c:pt>
                <c:pt idx="78">
                  <c:v>0.29559943537737077</c:v>
                </c:pt>
                <c:pt idx="79">
                  <c:v>0.29101659090983195</c:v>
                </c:pt>
                <c:pt idx="80">
                  <c:v>0.28650479686019009</c:v>
                </c:pt>
                <c:pt idx="81">
                  <c:v>0.28206295169381546</c:v>
                </c:pt>
                <c:pt idx="82">
                  <c:v>0.27768997095378994</c:v>
                </c:pt>
                <c:pt idx="83">
                  <c:v>0.27338478699614155</c:v>
                </c:pt>
                <c:pt idx="84">
                  <c:v>0.26914634872918386</c:v>
                </c:pt>
                <c:pt idx="85">
                  <c:v>0.26497362135689667</c:v>
                </c:pt>
                <c:pt idx="86">
                  <c:v>0.26086558612628497</c:v>
                </c:pt>
                <c:pt idx="87">
                  <c:v>0.25682124007865503</c:v>
                </c:pt>
                <c:pt idx="88">
                  <c:v>0.25283959580474646</c:v>
                </c:pt>
                <c:pt idx="89">
                  <c:v>0.24891968120366051</c:v>
                </c:pt>
                <c:pt idx="90">
                  <c:v>0.2450605392455259</c:v>
                </c:pt>
                <c:pt idx="91">
                  <c:v>0.24126122773784431</c:v>
                </c:pt>
                <c:pt idx="92">
                  <c:v>0.23752081909545814</c:v>
                </c:pt>
                <c:pt idx="93">
                  <c:v>0.23383840011408472</c:v>
                </c:pt>
                <c:pt idx="94">
                  <c:v>0.23021307174736147</c:v>
                </c:pt>
                <c:pt idx="95">
                  <c:v>0.22664394888734782</c:v>
                </c:pt>
                <c:pt idx="96">
                  <c:v>0.22313016014842982</c:v>
                </c:pt>
                <c:pt idx="97">
                  <c:v>0.21967084765457534</c:v>
                </c:pt>
                <c:pt idx="98">
                  <c:v>0.21626516682988731</c:v>
                </c:pt>
                <c:pt idx="99">
                  <c:v>0.21291228619240427</c:v>
                </c:pt>
                <c:pt idx="100">
                  <c:v>0.20961138715109781</c:v>
                </c:pt>
                <c:pt idx="101">
                  <c:v>0.20636166380601706</c:v>
                </c:pt>
                <c:pt idx="102">
                  <c:v>0.20316232275153173</c:v>
                </c:pt>
                <c:pt idx="103">
                  <c:v>0.2000125828826258</c:v>
                </c:pt>
                <c:pt idx="104">
                  <c:v>0.19691167520419406</c:v>
                </c:pt>
                <c:pt idx="105">
                  <c:v>0.19385884264329528</c:v>
                </c:pt>
                <c:pt idx="106">
                  <c:v>0.19085333986431632</c:v>
                </c:pt>
                <c:pt idx="107">
                  <c:v>0.18789443308700168</c:v>
                </c:pt>
                <c:pt idx="108">
                  <c:v>0.18498139990730428</c:v>
                </c:pt>
                <c:pt idx="109">
                  <c:v>0.18211352912101367</c:v>
                </c:pt>
                <c:pt idx="110">
                  <c:v>0.17929012055011864</c:v>
                </c:pt>
                <c:pt idx="111">
                  <c:v>0.17651048487186194</c:v>
                </c:pt>
                <c:pt idx="112">
                  <c:v>0.17377394345044514</c:v>
                </c:pt>
                <c:pt idx="113">
                  <c:v>0.17107982817134254</c:v>
                </c:pt>
                <c:pt idx="114">
                  <c:v>0.16842748127818424</c:v>
                </c:pt>
                <c:pt idx="115">
                  <c:v>0.1658162552121675</c:v>
                </c:pt>
                <c:pt idx="116">
                  <c:v>0.16324551245395841</c:v>
                </c:pt>
                <c:pt idx="117">
                  <c:v>0.16071462536804407</c:v>
                </c:pt>
                <c:pt idx="118">
                  <c:v>0.15822297604949842</c:v>
                </c:pt>
                <c:pt idx="119">
                  <c:v>0.15576995617312325</c:v>
                </c:pt>
                <c:pt idx="120">
                  <c:v>0.15335496684492847</c:v>
                </c:pt>
                <c:pt idx="121">
                  <c:v>0.15097741845591461</c:v>
                </c:pt>
                <c:pt idx="122">
                  <c:v>0.14863673053812251</c:v>
                </c:pt>
                <c:pt idx="123">
                  <c:v>0.14633233162291459</c:v>
                </c:pt>
                <c:pt idx="124">
                  <c:v>0.14406365910145327</c:v>
                </c:pt>
                <c:pt idx="125">
                  <c:v>0.14183015908734253</c:v>
                </c:pt>
                <c:pt idx="126">
                  <c:v>0.13963128628139898</c:v>
                </c:pt>
                <c:pt idx="127">
                  <c:v>0.13746650383851944</c:v>
                </c:pt>
                <c:pt idx="128">
                  <c:v>0.1353352832366127</c:v>
                </c:pt>
                <c:pt idx="129">
                  <c:v>0.13323710414756298</c:v>
                </c:pt>
                <c:pt idx="130">
                  <c:v>0.13117145431019428</c:v>
                </c:pt>
                <c:pt idx="131">
                  <c:v>0.12913782940520399</c:v>
                </c:pt>
                <c:pt idx="132">
                  <c:v>0.12713573293203559</c:v>
                </c:pt>
                <c:pt idx="133">
                  <c:v>0.12516467608766019</c:v>
                </c:pt>
                <c:pt idx="134">
                  <c:v>0.12322417764723749</c:v>
                </c:pt>
                <c:pt idx="135">
                  <c:v>0.1213137638466268</c:v>
                </c:pt>
                <c:pt idx="136">
                  <c:v>0.11943296826671962</c:v>
                </c:pt>
                <c:pt idx="137">
                  <c:v>0.11758133171956547</c:v>
                </c:pt>
                <c:pt idx="138">
                  <c:v>0.11575840213626322</c:v>
                </c:pt>
                <c:pt idx="139">
                  <c:v>0.1139637344565904</c:v>
                </c:pt>
                <c:pt idx="140">
                  <c:v>0.11219689052034373</c:v>
                </c:pt>
                <c:pt idx="141">
                  <c:v>0.11045743896036429</c:v>
                </c:pt>
                <c:pt idx="142">
                  <c:v>0.10874495509722103</c:v>
                </c:pt>
                <c:pt idx="143">
                  <c:v>0.10705902083552722</c:v>
                </c:pt>
                <c:pt idx="144">
                  <c:v>0.10539922456186433</c:v>
                </c:pt>
                <c:pt idx="145">
                  <c:v>0.10376516104428837</c:v>
                </c:pt>
                <c:pt idx="146">
                  <c:v>0.1021564313333943</c:v>
                </c:pt>
                <c:pt idx="147">
                  <c:v>0.10057264266491435</c:v>
                </c:pt>
                <c:pt idx="148">
                  <c:v>9.90134083638263E-2</c:v>
                </c:pt>
                <c:pt idx="149">
                  <c:v>9.7478347749948499E-2</c:v>
                </c:pt>
                <c:pt idx="150">
                  <c:v>9.596708604499847E-2</c:v>
                </c:pt>
                <c:pt idx="151">
                  <c:v>9.447925428109244E-2</c:v>
                </c:pt>
                <c:pt idx="152">
                  <c:v>9.3014489210663492E-2</c:v>
                </c:pt>
                <c:pt idx="153">
                  <c:v>9.1572433217776208E-2</c:v>
                </c:pt>
                <c:pt idx="154">
                  <c:v>9.0152734230816378E-2</c:v>
                </c:pt>
                <c:pt idx="155">
                  <c:v>8.8755045636534247E-2</c:v>
                </c:pt>
                <c:pt idx="156">
                  <c:v>8.7379026195420387E-2</c:v>
                </c:pt>
                <c:pt idx="157">
                  <c:v>8.602433995839362E-2</c:v>
                </c:pt>
                <c:pt idx="158">
                  <c:v>8.46906561847805E-2</c:v>
                </c:pt>
                <c:pt idx="159">
                  <c:v>8.3377649261566447E-2</c:v>
                </c:pt>
                <c:pt idx="160">
                  <c:v>8.20849986238988E-2</c:v>
                </c:pt>
                <c:pt idx="161">
                  <c:v>8.0812388676822222E-2</c:v>
                </c:pt>
                <c:pt idx="162">
                  <c:v>7.9559508718227687E-2</c:v>
                </c:pt>
                <c:pt idx="163">
                  <c:v>7.8326052862995876E-2</c:v>
                </c:pt>
                <c:pt idx="164">
                  <c:v>7.7111719968316714E-2</c:v>
                </c:pt>
                <c:pt idx="165">
                  <c:v>7.5916213560166604E-2</c:v>
                </c:pt>
                <c:pt idx="166">
                  <c:v>7.4739241760925695E-2</c:v>
                </c:pt>
                <c:pt idx="167">
                  <c:v>7.3580517218117175E-2</c:v>
                </c:pt>
                <c:pt idx="168">
                  <c:v>7.2439757034251456E-2</c:v>
                </c:pt>
                <c:pt idx="169">
                  <c:v>7.1316682697758038E-2</c:v>
                </c:pt>
                <c:pt idx="170">
                  <c:v>7.0211020014988038E-2</c:v>
                </c:pt>
                <c:pt idx="171">
                  <c:v>6.9122499043271141E-2</c:v>
                </c:pt>
                <c:pt idx="172">
                  <c:v>6.8050854025010196E-2</c:v>
                </c:pt>
                <c:pt idx="173">
                  <c:v>6.6995823322797687E-2</c:v>
                </c:pt>
                <c:pt idx="174">
                  <c:v>6.5957149355538175E-2</c:v>
                </c:pt>
                <c:pt idx="175">
                  <c:v>6.4934578535560894E-2</c:v>
                </c:pt>
                <c:pt idx="176">
                  <c:v>6.392786120670757E-2</c:v>
                </c:pt>
                <c:pt idx="177">
                  <c:v>6.2936751583379871E-2</c:v>
                </c:pt>
                <c:pt idx="178">
                  <c:v>6.1961007690531984E-2</c:v>
                </c:pt>
                <c:pt idx="179">
                  <c:v>6.1000391304593442E-2</c:v>
                </c:pt>
                <c:pt idx="180">
                  <c:v>6.0054667895307945E-2</c:v>
                </c:pt>
                <c:pt idx="181">
                  <c:v>5.9123606568473756E-2</c:v>
                </c:pt>
                <c:pt idx="182">
                  <c:v>5.8206980009571974E-2</c:v>
                </c:pt>
                <c:pt idx="183">
                  <c:v>5.7304564428268645E-2</c:v>
                </c:pt>
                <c:pt idx="184">
                  <c:v>5.641613950377735E-2</c:v>
                </c:pt>
                <c:pt idx="185">
                  <c:v>5.5541488331068867E-2</c:v>
                </c:pt>
                <c:pt idx="186">
                  <c:v>5.4680397367914767E-2</c:v>
                </c:pt>
                <c:pt idx="187">
                  <c:v>5.3832656382752003E-2</c:v>
                </c:pt>
                <c:pt idx="188">
                  <c:v>5.2998058403355801E-2</c:v>
                </c:pt>
                <c:pt idx="189">
                  <c:v>5.2176399666308333E-2</c:v>
                </c:pt>
                <c:pt idx="190">
                  <c:v>5.1367479567250733E-2</c:v>
                </c:pt>
                <c:pt idx="191">
                  <c:v>5.0571100611906464E-2</c:v>
                </c:pt>
                <c:pt idx="192">
                  <c:v>4.9787068367863944E-2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803-4AFE-A35E-761EE751A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0034256"/>
        <c:axId val="1040034736"/>
      </c:scatterChart>
      <c:valAx>
        <c:axId val="104003425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Future Lifetime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0034736"/>
        <c:crosses val="autoZero"/>
        <c:crossBetween val="midCat"/>
      </c:valAx>
      <c:valAx>
        <c:axId val="10400347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Probability</a:t>
                </a:r>
                <a:r>
                  <a:rPr lang="en-IE" sz="1600" baseline="0"/>
                  <a:t> Density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0034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8389070492616257"/>
          <c:y val="0.30961966936329277"/>
          <c:w val="0.30974403804258416"/>
          <c:h val="0.310773007139993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5"/>
          <c:order val="0"/>
          <c:tx>
            <c:v>Gini = 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B2-4A97-AD0D-4EFAF075B3A7}"/>
              </c:ext>
            </c:extLst>
          </c:dPt>
          <c:xVal>
            <c:numRef>
              <c:f>DensLorenzDat!$X$7:$X$8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DensLorenzDat!$X$7:$X$8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B2-4A97-AD0D-4EFAF075B3A7}"/>
            </c:ext>
          </c:extLst>
        </c:ser>
        <c:ser>
          <c:idx val="0"/>
          <c:order val="1"/>
          <c:tx>
            <c:v>Gini = 0.1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DensLorenzDat!$H$10:$H$74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DensLorenzDat!$X$10:$X$74</c:f>
              <c:numCache>
                <c:formatCode>General</c:formatCode>
                <c:ptCount val="65"/>
                <c:pt idx="0">
                  <c:v>0</c:v>
                </c:pt>
                <c:pt idx="1">
                  <c:v>5.5980213563910919E-3</c:v>
                </c:pt>
                <c:pt idx="2">
                  <c:v>1.4053797791119149E-2</c:v>
                </c:pt>
                <c:pt idx="3">
                  <c:v>2.3690266020078399E-2</c:v>
                </c:pt>
                <c:pt idx="4">
                  <c:v>3.410562816776086E-2</c:v>
                </c:pt>
                <c:pt idx="5">
                  <c:v>4.510701911523407E-2</c:v>
                </c:pt>
                <c:pt idx="6">
                  <c:v>5.6580341424802394E-2</c:v>
                </c:pt>
                <c:pt idx="7">
                  <c:v>6.8450055945683763E-2</c:v>
                </c:pt>
                <c:pt idx="8">
                  <c:v>8.0662443665083128E-2</c:v>
                </c:pt>
                <c:pt idx="9">
                  <c:v>9.3177355120629635E-2</c:v>
                </c:pt>
                <c:pt idx="10">
                  <c:v>0.10596366313115202</c:v>
                </c:pt>
                <c:pt idx="11">
                  <c:v>0.11899654767010981</c:v>
                </c:pt>
                <c:pt idx="12">
                  <c:v>0.13225577353715989</c:v>
                </c:pt>
                <c:pt idx="13">
                  <c:v>0.14572454467678209</c:v>
                </c:pt>
                <c:pt idx="14">
                  <c:v>0.1593887123262796</c:v>
                </c:pt>
                <c:pt idx="15">
                  <c:v>0.17323621017098323</c:v>
                </c:pt>
                <c:pt idx="16">
                  <c:v>0.18725664063026759</c:v>
                </c:pt>
                <c:pt idx="17">
                  <c:v>0.2014409649522968</c:v>
                </c:pt>
                <c:pt idx="18">
                  <c:v>0.21578126654731455</c:v>
                </c:pt>
                <c:pt idx="19">
                  <c:v>0.23027056720599526</c:v>
                </c:pt>
                <c:pt idx="20">
                  <c:v>0.244902682292235</c:v>
                </c:pt>
                <c:pt idx="21">
                  <c:v>0.25967210518285699</c:v>
                </c:pt>
                <c:pt idx="22">
                  <c:v>0.27457391401318632</c:v>
                </c:pt>
                <c:pt idx="23">
                  <c:v>0.28960369568635769</c:v>
                </c:pt>
                <c:pt idx="24">
                  <c:v>0.30475748342496856</c:v>
                </c:pt>
                <c:pt idx="25">
                  <c:v>0.32003170507941425</c:v>
                </c:pt>
                <c:pt idx="26">
                  <c:v>0.33542314008146645</c:v>
                </c:pt>
                <c:pt idx="27">
                  <c:v>0.35092888342507911</c:v>
                </c:pt>
                <c:pt idx="28">
                  <c:v>0.36654631542284977</c:v>
                </c:pt>
                <c:pt idx="29">
                  <c:v>0.38227307626255125</c:v>
                </c:pt>
                <c:pt idx="30">
                  <c:v>0.39810704459890944</c:v>
                </c:pt>
                <c:pt idx="31">
                  <c:v>0.41404631957907456</c:v>
                </c:pt>
                <c:pt idx="32">
                  <c:v>0.4300892058286433</c:v>
                </c:pt>
                <c:pt idx="33">
                  <c:v>0.44623420102786249</c:v>
                </c:pt>
                <c:pt idx="34">
                  <c:v>0.4624799857915638</c:v>
                </c:pt>
                <c:pt idx="35">
                  <c:v>0.47882541563665604</c:v>
                </c:pt>
                <c:pt idx="36">
                  <c:v>0.49526951488167392</c:v>
                </c:pt>
                <c:pt idx="37">
                  <c:v>0.51181147237730495</c:v>
                </c:pt>
                <c:pt idx="38">
                  <c:v>0.5284506390178827</c:v>
                </c:pt>
                <c:pt idx="39">
                  <c:v>0.54518652703427573</c:v>
                </c:pt>
                <c:pt idx="40">
                  <c:v>0.56201881112119856</c:v>
                </c:pt>
                <c:pt idx="41">
                  <c:v>0.57894733150983879</c:v>
                </c:pt>
                <c:pt idx="42">
                  <c:v>0.59597209916356497</c:v>
                </c:pt>
                <c:pt idx="43">
                  <c:v>0.6130933033551571</c:v>
                </c:pt>
                <c:pt idx="44">
                  <c:v>0.63031132198493278</c:v>
                </c:pt>
                <c:pt idx="45">
                  <c:v>0.64762673512933167</c:v>
                </c:pt>
                <c:pt idx="46">
                  <c:v>0.66504034248189869</c:v>
                </c:pt>
                <c:pt idx="47">
                  <c:v>0.68255318558223721</c:v>
                </c:pt>
                <c:pt idx="48">
                  <c:v>0.70016657605215338</c:v>
                </c:pt>
                <c:pt idx="49">
                  <c:v>0.71788213151634062</c:v>
                </c:pt>
                <c:pt idx="50">
                  <c:v>0.73570182154801667</c:v>
                </c:pt>
                <c:pt idx="51">
                  <c:v>0.75362802696262166</c:v>
                </c:pt>
                <c:pt idx="52">
                  <c:v>0.77166361727744492</c:v>
                </c:pt>
                <c:pt idx="53">
                  <c:v>0.7898120534957549</c:v>
                </c:pt>
                <c:pt idx="54">
                  <c:v>0.80807752716264603</c:v>
                </c:pt>
                <c:pt idx="55">
                  <c:v>0.82646515301098034</c:v>
                </c:pt>
                <c:pt idx="56">
                  <c:v>0.84498124372140859</c:v>
                </c:pt>
                <c:pt idx="57">
                  <c:v>0.86363371611388751</c:v>
                </c:pt>
                <c:pt idx="58">
                  <c:v>0.88243271927886602</c:v>
                </c:pt>
                <c:pt idx="59">
                  <c:v>0.90139166370814661</c:v>
                </c:pt>
                <c:pt idx="60">
                  <c:v>0.92052904213508513</c:v>
                </c:pt>
                <c:pt idx="61">
                  <c:v>0.93987201711908952</c:v>
                </c:pt>
                <c:pt idx="62">
                  <c:v>0.95946474448230656</c:v>
                </c:pt>
                <c:pt idx="63">
                  <c:v>0.97939416926771317</c:v>
                </c:pt>
                <c:pt idx="6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B2-4A97-AD0D-4EFAF075B3A7}"/>
            </c:ext>
          </c:extLst>
        </c:ser>
        <c:ser>
          <c:idx val="1"/>
          <c:order val="2"/>
          <c:tx>
            <c:v>Gini = 0.2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DensLorenzDat!$H$10:$H$74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DensLorenzDat!$Y$10:$Y$74</c:f>
              <c:numCache>
                <c:formatCode>General</c:formatCode>
                <c:ptCount val="65"/>
                <c:pt idx="0">
                  <c:v>0</c:v>
                </c:pt>
                <c:pt idx="1">
                  <c:v>1.1652663824693876E-3</c:v>
                </c:pt>
                <c:pt idx="2">
                  <c:v>4.1551808797013479E-3</c:v>
                </c:pt>
                <c:pt idx="3">
                  <c:v>8.5023188678299277E-3</c:v>
                </c:pt>
                <c:pt idx="4">
                  <c:v>1.393512627513116E-2</c:v>
                </c:pt>
                <c:pt idx="5">
                  <c:v>2.0275739713878749E-2</c:v>
                </c:pt>
                <c:pt idx="6">
                  <c:v>2.7398571628123647E-2</c:v>
                </c:pt>
                <c:pt idx="7">
                  <c:v>3.5210231636973899E-2</c:v>
                </c:pt>
                <c:pt idx="8">
                  <c:v>4.3638586332598206E-2</c:v>
                </c:pt>
                <c:pt idx="9">
                  <c:v>5.2626281913714879E-2</c:v>
                </c:pt>
                <c:pt idx="10">
                  <c:v>6.2126661903713076E-2</c:v>
                </c:pt>
                <c:pt idx="11">
                  <c:v>7.2101065611539616E-2</c:v>
                </c:pt>
                <c:pt idx="12">
                  <c:v>8.2516968732747831E-2</c:v>
                </c:pt>
                <c:pt idx="13">
                  <c:v>9.3346661579828405E-2</c:v>
                </c:pt>
                <c:pt idx="14">
                  <c:v>0.10456628375959831</c:v>
                </c:pt>
                <c:pt idx="15">
                  <c:v>0.1161551028214004</c:v>
                </c:pt>
                <c:pt idx="16">
                  <c:v>0.12809496450187807</c:v>
                </c:pt>
                <c:pt idx="17">
                  <c:v>0.14036986654280326</c:v>
                </c:pt>
                <c:pt idx="18">
                  <c:v>0.15296562335626107</c:v>
                </c:pt>
                <c:pt idx="19">
                  <c:v>0.16586959871068963</c:v>
                </c:pt>
                <c:pt idx="20">
                  <c:v>0.17907049018586396</c:v>
                </c:pt>
                <c:pt idx="21">
                  <c:v>0.19255815361333473</c:v>
                </c:pt>
                <c:pt idx="22">
                  <c:v>0.20632345881912362</c:v>
                </c:pt>
                <c:pt idx="23">
                  <c:v>0.22035817017689929</c:v>
                </c:pt>
                <c:pt idx="24">
                  <c:v>0.23465484705530193</c:v>
                </c:pt>
                <c:pt idx="25">
                  <c:v>0.24920676039343259</c:v>
                </c:pt>
                <c:pt idx="26">
                  <c:v>0.26400782249069932</c:v>
                </c:pt>
                <c:pt idx="27">
                  <c:v>0.27905252773719857</c:v>
                </c:pt>
                <c:pt idx="28">
                  <c:v>0.29433590249780683</c:v>
                </c:pt>
                <c:pt idx="29">
                  <c:v>0.30985346273863434</c:v>
                </c:pt>
                <c:pt idx="30">
                  <c:v>0.32560117827791168</c:v>
                </c:pt>
                <c:pt idx="31">
                  <c:v>0.34157544277603047</c:v>
                </c:pt>
                <c:pt idx="32">
                  <c:v>0.35777304876698379</c:v>
                </c:pt>
                <c:pt idx="33">
                  <c:v>0.37419116718753098</c:v>
                </c:pt>
                <c:pt idx="34">
                  <c:v>0.39082733099003086</c:v>
                </c:pt>
                <c:pt idx="35">
                  <c:v>0.40767942253711342</c:v>
                </c:pt>
                <c:pt idx="36">
                  <c:v>0.42474566457703311</c:v>
                </c:pt>
                <c:pt idx="37">
                  <c:v>0.44202461469273391</c:v>
                </c:pt>
                <c:pt idx="38">
                  <c:v>0.45951516321009611</c:v>
                </c:pt>
                <c:pt idx="39">
                  <c:v>0.47721653464629687</c:v>
                </c:pt>
                <c:pt idx="40">
                  <c:v>0.49512829288295324</c:v>
                </c:pt>
                <c:pt idx="41">
                  <c:v>0.51325035036692124</c:v>
                </c:pt>
                <c:pt idx="42">
                  <c:v>0.53158298178210295</c:v>
                </c:pt>
                <c:pt idx="43">
                  <c:v>0.55012684280863267</c:v>
                </c:pt>
                <c:pt idx="44">
                  <c:v>0.5688829948054942</c:v>
                </c:pt>
                <c:pt idx="45">
                  <c:v>0.58785293653880699</c:v>
                </c:pt>
                <c:pt idx="46">
                  <c:v>0.60703864445945044</c:v>
                </c:pt>
                <c:pt idx="47">
                  <c:v>0.62644262355283886</c:v>
                </c:pt>
                <c:pt idx="48">
                  <c:v>0.64606797150475059</c:v>
                </c:pt>
                <c:pt idx="49">
                  <c:v>0.66591845994951671</c:v>
                </c:pt>
                <c:pt idx="50">
                  <c:v>0.68599863804812711</c:v>
                </c:pt>
                <c:pt idx="51">
                  <c:v>0.70631396584047601</c:v>
                </c:pt>
                <c:pt idx="52">
                  <c:v>0.72687098815856566</c:v>
                </c:pt>
                <c:pt idx="53">
                  <c:v>0.74767756512301797</c:v>
                </c:pt>
                <c:pt idx="54">
                  <c:v>0.76874318372077455</c:v>
                </c:pt>
                <c:pt idx="55">
                  <c:v>0.79007938921625409</c:v>
                </c:pt>
                <c:pt idx="56">
                  <c:v>0.8117004002210475</c:v>
                </c:pt>
                <c:pt idx="57">
                  <c:v>0.83362401777652706</c:v>
                </c:pt>
                <c:pt idx="58">
                  <c:v>0.8558730309828082</c:v>
                </c:pt>
                <c:pt idx="59">
                  <c:v>0.87847751988948775</c:v>
                </c:pt>
                <c:pt idx="60">
                  <c:v>0.90147893008425684</c:v>
                </c:pt>
                <c:pt idx="61">
                  <c:v>0.92493810140481814</c:v>
                </c:pt>
                <c:pt idx="62">
                  <c:v>0.94895389742461411</c:v>
                </c:pt>
                <c:pt idx="63">
                  <c:v>0.97372095334510134</c:v>
                </c:pt>
                <c:pt idx="6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B2-4A97-AD0D-4EFAF075B3A7}"/>
            </c:ext>
          </c:extLst>
        </c:ser>
        <c:ser>
          <c:idx val="2"/>
          <c:order val="3"/>
          <c:tx>
            <c:v>Gini = 0.3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DensLorenzDat!$H$10:$H$74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DensLorenzDat!$Z$10:$Z$74</c:f>
              <c:numCache>
                <c:formatCode>General</c:formatCode>
                <c:ptCount val="65"/>
                <c:pt idx="0">
                  <c:v>0</c:v>
                </c:pt>
                <c:pt idx="1">
                  <c:v>3.9489027651595787E-4</c:v>
                </c:pt>
                <c:pt idx="2">
                  <c:v>1.5502724613053465E-3</c:v>
                </c:pt>
                <c:pt idx="3">
                  <c:v>3.4262792697821176E-3</c:v>
                </c:pt>
                <c:pt idx="4">
                  <c:v>5.9877324871587811E-3</c:v>
                </c:pt>
                <c:pt idx="5">
                  <c:v>9.2033922447870564E-3</c:v>
                </c:pt>
                <c:pt idx="6">
                  <c:v>1.3045360163184139E-2</c:v>
                </c:pt>
                <c:pt idx="7">
                  <c:v>1.7488598970530345E-2</c:v>
                </c:pt>
                <c:pt idx="8">
                  <c:v>2.2510541618596225E-2</c:v>
                </c:pt>
                <c:pt idx="9">
                  <c:v>2.8090770098136542E-2</c:v>
                </c:pt>
                <c:pt idx="10">
                  <c:v>3.4210749201752377E-2</c:v>
                </c:pt>
                <c:pt idx="11">
                  <c:v>4.0853604089852058E-2</c:v>
                </c:pt>
                <c:pt idx="12">
                  <c:v>4.8003933135124743E-2</c:v>
                </c:pt>
                <c:pt idx="13">
                  <c:v>5.5647649450693559E-2</c:v>
                </c:pt>
                <c:pt idx="14">
                  <c:v>6.3771845947202976E-2</c:v>
                </c:pt>
                <c:pt idx="15">
                  <c:v>7.2364679851884883E-2</c:v>
                </c:pt>
                <c:pt idx="16">
                  <c:v>8.1415273453516956E-2</c:v>
                </c:pt>
                <c:pt idx="17">
                  <c:v>9.0913628478558439E-2</c:v>
                </c:pt>
                <c:pt idx="18">
                  <c:v>0.10085055200375026</c:v>
                </c:pt>
                <c:pt idx="19">
                  <c:v>0.11121759220400051</c:v>
                </c:pt>
                <c:pt idx="20">
                  <c:v>0.12200698254694653</c:v>
                </c:pt>
                <c:pt idx="21">
                  <c:v>0.13321159329617371</c:v>
                </c:pt>
                <c:pt idx="22">
                  <c:v>0.14482488938779114</c:v>
                </c:pt>
                <c:pt idx="23">
                  <c:v>0.15684089391068845</c:v>
                </c:pt>
                <c:pt idx="24">
                  <c:v>0.16925415655753528</c:v>
                </c:pt>
                <c:pt idx="25">
                  <c:v>0.1820597265277577</c:v>
                </c:pt>
                <c:pt idx="26">
                  <c:v>0.19525312946040463</c:v>
                </c:pt>
                <c:pt idx="27">
                  <c:v>0.20883034805791134</c:v>
                </c:pt>
                <c:pt idx="28">
                  <c:v>0.22278780613458971</c:v>
                </c:pt>
                <c:pt idx="29">
                  <c:v>0.23712235588888375</c:v>
                </c:pt>
                <c:pt idx="30">
                  <c:v>0.25183126825842073</c:v>
                </c:pt>
                <c:pt idx="31">
                  <c:v>0.26691222627371991</c:v>
                </c:pt>
                <c:pt idx="32">
                  <c:v>0.28236332138212816</c:v>
                </c:pt>
                <c:pt idx="33">
                  <c:v>0.29818305277012058</c:v>
                </c:pt>
                <c:pt idx="34">
                  <c:v>0.3143703297716326</c:v>
                </c:pt>
                <c:pt idx="35">
                  <c:v>0.33092447751500331</c:v>
                </c:pt>
                <c:pt idx="36">
                  <c:v>0.34784524603414835</c:v>
                </c:pt>
                <c:pt idx="37">
                  <c:v>0.36513282315419138</c:v>
                </c:pt>
                <c:pt idx="38">
                  <c:v>0.38278785156230932</c:v>
                </c:pt>
                <c:pt idx="39">
                  <c:v>0.40081145059654355</c:v>
                </c:pt>
                <c:pt idx="40">
                  <c:v>0.41920524343630239</c:v>
                </c:pt>
                <c:pt idx="41">
                  <c:v>0.43797139056820034</c:v>
                </c:pt>
                <c:pt idx="42">
                  <c:v>0.45711263064354812</c:v>
                </c:pt>
                <c:pt idx="43">
                  <c:v>0.47663233015837292</c:v>
                </c:pt>
                <c:pt idx="44">
                  <c:v>0.49653454380044459</c:v>
                </c:pt>
                <c:pt idx="45">
                  <c:v>0.51682408785935174</c:v>
                </c:pt>
                <c:pt idx="46">
                  <c:v>0.53750662984223962</c:v>
                </c:pt>
                <c:pt idx="47">
                  <c:v>0.55858879846411424</c:v>
                </c:pt>
                <c:pt idx="48">
                  <c:v>0.58007831961629719</c:v>
                </c:pt>
                <c:pt idx="49">
                  <c:v>0.60198418595913794</c:v>
                </c:pt>
                <c:pt idx="50">
                  <c:v>0.62431687075199027</c:v>
                </c:pt>
                <c:pt idx="51">
                  <c:v>0.64708860094073972</c:v>
                </c:pt>
                <c:pt idx="52">
                  <c:v>0.67031371123690975</c:v>
                </c:pt>
                <c:pt idx="53">
                  <c:v>0.69400911144629285</c:v>
                </c:pt>
                <c:pt idx="54">
                  <c:v>0.71819491635117161</c:v>
                </c:pt>
                <c:pt idx="55">
                  <c:v>0.7428953161321894</c:v>
                </c:pt>
                <c:pt idx="56">
                  <c:v>0.76813981578694768</c:v>
                </c:pt>
                <c:pt idx="57">
                  <c:v>0.79396506570317515</c:v>
                </c:pt>
                <c:pt idx="58">
                  <c:v>0.82041769125319663</c:v>
                </c:pt>
                <c:pt idx="59">
                  <c:v>0.84755892873047189</c:v>
                </c:pt>
                <c:pt idx="60">
                  <c:v>0.87547283028017697</c:v>
                </c:pt>
                <c:pt idx="61">
                  <c:v>0.90428243987777202</c:v>
                </c:pt>
                <c:pt idx="62">
                  <c:v>0.93418735775001815</c:v>
                </c:pt>
                <c:pt idx="63">
                  <c:v>0.96558032547806105</c:v>
                </c:pt>
                <c:pt idx="6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B2-4A97-AD0D-4EFAF075B3A7}"/>
            </c:ext>
          </c:extLst>
        </c:ser>
        <c:ser>
          <c:idx val="3"/>
          <c:order val="4"/>
          <c:tx>
            <c:v>Gini = 0.4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DensLorenzDat!$H$10:$H$74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DensLorenzDat!$AA$10:$AA$74</c:f>
              <c:numCache>
                <c:formatCode>General</c:formatCode>
                <c:ptCount val="65"/>
                <c:pt idx="0">
                  <c:v>0</c:v>
                </c:pt>
                <c:pt idx="1">
                  <c:v>1.9789896552702135E-4</c:v>
                </c:pt>
                <c:pt idx="2">
                  <c:v>7.9206515970342561E-4</c:v>
                </c:pt>
                <c:pt idx="3">
                  <c:v>1.7832711351811747E-3</c:v>
                </c:pt>
                <c:pt idx="4">
                  <c:v>3.1723829373020429E-3</c:v>
                </c:pt>
                <c:pt idx="5">
                  <c:v>4.9603628010015388E-3</c:v>
                </c:pt>
                <c:pt idx="6">
                  <c:v>7.1482720704423297E-3</c:v>
                </c:pt>
                <c:pt idx="7">
                  <c:v>9.7372743579240417E-3</c:v>
                </c:pt>
                <c:pt idx="8">
                  <c:v>1.2728638960344707E-2</c:v>
                </c:pt>
                <c:pt idx="9">
                  <c:v>1.6123744553484753E-2</c:v>
                </c:pt>
                <c:pt idx="10">
                  <c:v>1.9924083186597774E-2</c:v>
                </c:pt>
                <c:pt idx="11">
                  <c:v>2.4131264602279434E-2</c:v>
                </c:pt>
                <c:pt idx="12">
                  <c:v>2.8747020909353771E-2</c:v>
                </c:pt>
                <c:pt idx="13">
                  <c:v>3.3773211639712142E-2</c:v>
                </c:pt>
                <c:pt idx="14">
                  <c:v>3.9211829223611772E-2</c:v>
                </c:pt>
                <c:pt idx="15">
                  <c:v>4.5065004922028584E-2</c:v>
                </c:pt>
                <c:pt idx="16">
                  <c:v>5.1335015259217354E-2</c:v>
                </c:pt>
                <c:pt idx="17">
                  <c:v>5.8024289003956731E-2</c:v>
                </c:pt>
                <c:pt idx="18">
                  <c:v>6.5135414754033505E-2</c:v>
                </c:pt>
                <c:pt idx="19">
                  <c:v>7.2671149185321471E-2</c:v>
                </c:pt>
                <c:pt idx="20">
                  <c:v>8.0634426034926543E-2</c:v>
                </c:pt>
                <c:pt idx="21">
                  <c:v>8.9028365896938411E-2</c:v>
                </c:pt>
                <c:pt idx="22">
                  <c:v>9.7856286920049773E-2</c:v>
                </c:pt>
                <c:pt idx="23">
                  <c:v>0.10712171650866353</c:v>
                </c:pt>
                <c:pt idx="24">
                  <c:v>0.11682840414348372</c:v>
                </c:pt>
                <c:pt idx="25">
                  <c:v>0.12698033545452059</c:v>
                </c:pt>
                <c:pt idx="26">
                  <c:v>0.13758174769915332</c:v>
                </c:pt>
                <c:pt idx="27">
                  <c:v>0.14863714682130369</c:v>
                </c:pt>
                <c:pt idx="28">
                  <c:v>0.1601513262953882</c:v>
                </c:pt>
                <c:pt idx="29">
                  <c:v>0.17212938799154653</c:v>
                </c:pt>
                <c:pt idx="30">
                  <c:v>0.18457676533787182</c:v>
                </c:pt>
                <c:pt idx="31">
                  <c:v>0.19749924910247585</c:v>
                </c:pt>
                <c:pt idx="32">
                  <c:v>0.21090301617494345</c:v>
                </c:pt>
                <c:pt idx="33">
                  <c:v>0.22479466179558738</c:v>
                </c:pt>
                <c:pt idx="34">
                  <c:v>0.23918123576492245</c:v>
                </c:pt>
                <c:pt idx="35">
                  <c:v>0.2540702832686208</c:v>
                </c:pt>
                <c:pt idx="36">
                  <c:v>0.26946989108047004</c:v>
                </c:pt>
                <c:pt idx="37">
                  <c:v>0.28538874006390447</c:v>
                </c:pt>
                <c:pt idx="38">
                  <c:v>0.30183616509042588</c:v>
                </c:pt>
                <c:pt idx="39">
                  <c:v>0.3188222237429611</c:v>
                </c:pt>
                <c:pt idx="40">
                  <c:v>0.33635777549007695</c:v>
                </c:pt>
                <c:pt idx="41">
                  <c:v>0.35445457342428344</c:v>
                </c:pt>
                <c:pt idx="42">
                  <c:v>0.37312537118665168</c:v>
                </c:pt>
                <c:pt idx="43">
                  <c:v>0.39238404839173902</c:v>
                </c:pt>
                <c:pt idx="44">
                  <c:v>0.41224575878359848</c:v>
                </c:pt>
                <c:pt idx="45">
                  <c:v>0.43272710658248703</c:v>
                </c:pt>
                <c:pt idx="46">
                  <c:v>0.45384635815153973</c:v>
                </c:pt>
                <c:pt idx="47">
                  <c:v>0.47562369841468033</c:v>
                </c:pt>
                <c:pt idx="48">
                  <c:v>0.49808154468245502</c:v>
                </c:pt>
                <c:pt idx="49">
                  <c:v>0.5212449351428583</c:v>
                </c:pt>
                <c:pt idx="50">
                  <c:v>0.54514201596792722</c:v>
                </c:pt>
                <c:pt idx="51">
                  <c:v>0.56980466094473603</c:v>
                </c:pt>
                <c:pt idx="52">
                  <c:v>0.59526927273110863</c:v>
                </c:pt>
                <c:pt idx="53">
                  <c:v>0.62157783868365102</c:v>
                </c:pt>
                <c:pt idx="54">
                  <c:v>0.64877935289056299</c:v>
                </c:pt>
                <c:pt idx="55">
                  <c:v>0.6769317812353649</c:v>
                </c:pt>
                <c:pt idx="56">
                  <c:v>0.70610486123159921</c:v>
                </c:pt>
                <c:pt idx="57">
                  <c:v>0.73638424209888242</c:v>
                </c:pt>
                <c:pt idx="58">
                  <c:v>0.76787789500611536</c:v>
                </c:pt>
                <c:pt idx="59">
                  <c:v>0.80072663845464886</c:v>
                </c:pt>
                <c:pt idx="60">
                  <c:v>0.83512281781894726</c:v>
                </c:pt>
                <c:pt idx="61">
                  <c:v>0.87134725808356261</c:v>
                </c:pt>
                <c:pt idx="62">
                  <c:v>0.90985545342939478</c:v>
                </c:pt>
                <c:pt idx="63">
                  <c:v>0.95154671020118919</c:v>
                </c:pt>
                <c:pt idx="6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B2-4A97-AD0D-4EFAF075B3A7}"/>
            </c:ext>
          </c:extLst>
        </c:ser>
        <c:ser>
          <c:idx val="4"/>
          <c:order val="5"/>
          <c:tx>
            <c:v>Gini = 0.5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DensLorenzDat!$H$10:$H$74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DensLorenzDat!$AB$10:$AB$74</c:f>
              <c:numCache>
                <c:formatCode>General</c:formatCode>
                <c:ptCount val="65"/>
                <c:pt idx="0">
                  <c:v>0</c:v>
                </c:pt>
                <c:pt idx="1">
                  <c:v>1.2271110948802733E-4</c:v>
                </c:pt>
                <c:pt idx="2">
                  <c:v>4.9344850775034921E-4</c:v>
                </c:pt>
                <c:pt idx="3">
                  <c:v>1.1162129630000184E-3</c:v>
                </c:pt>
                <c:pt idx="4">
                  <c:v>1.9951364335271116E-3</c:v>
                </c:pt>
                <c:pt idx="5">
                  <c:v>3.1344886283876106E-3</c:v>
                </c:pt>
                <c:pt idx="6">
                  <c:v>4.5386840129898465E-3</c:v>
                </c:pt>
                <c:pt idx="7">
                  <c:v>6.2122892979384892E-3</c:v>
                </c:pt>
                <c:pt idx="8">
                  <c:v>8.1600314535426044E-3</c:v>
                </c:pt>
                <c:pt idx="9">
                  <c:v>1.0386806296936668E-2</c:v>
                </c:pt>
                <c:pt idx="10">
                  <c:v>1.2897687703883443E-2</c:v>
                </c:pt>
                <c:pt idx="11">
                  <c:v>1.569793750312265E-2</c:v>
                </c:pt>
                <c:pt idx="12">
                  <c:v>1.8793016117676364E-2</c:v>
                </c:pt>
                <c:pt idx="13">
                  <c:v>2.2188594024958652E-2</c:v>
                </c:pt>
                <c:pt idx="14">
                  <c:v>2.5890564115995551E-2</c:v>
                </c:pt>
                <c:pt idx="15">
                  <c:v>2.990505504369978E-2</c:v>
                </c:pt>
                <c:pt idx="16">
                  <c:v>3.4238445661164407E-2</c:v>
                </c:pt>
                <c:pt idx="17">
                  <c:v>3.8897380663565295E-2</c:v>
                </c:pt>
                <c:pt idx="18">
                  <c:v>4.3888787561772835E-2</c:v>
                </c:pt>
                <c:pt idx="19">
                  <c:v>4.9219895132486813E-2</c:v>
                </c:pt>
                <c:pt idx="20">
                  <c:v>5.4898253509030104E-2</c:v>
                </c:pt>
                <c:pt idx="21">
                  <c:v>6.0931756099332657E-2</c:v>
                </c:pt>
                <c:pt idx="22">
                  <c:v>6.7328663543675837E-2</c:v>
                </c:pt>
                <c:pt idx="23">
                  <c:v>7.4097629955157451E-2</c:v>
                </c:pt>
                <c:pt idx="24">
                  <c:v>8.1247731721415195E-2</c:v>
                </c:pt>
                <c:pt idx="25">
                  <c:v>8.8788499187953285E-2</c:v>
                </c:pt>
                <c:pt idx="26">
                  <c:v>9.6729951592736452E-2</c:v>
                </c:pt>
                <c:pt idx="27">
                  <c:v>0.10508263568013199</c:v>
                </c:pt>
                <c:pt idx="28">
                  <c:v>0.1138576684917465</c:v>
                </c:pt>
                <c:pt idx="29">
                  <c:v>0.12306678491470258</c:v>
                </c:pt>
                <c:pt idx="30">
                  <c:v>0.13272239066751013</c:v>
                </c:pt>
                <c:pt idx="31">
                  <c:v>0.14283762152382307</c:v>
                </c:pt>
                <c:pt idx="32">
                  <c:v>0.1534264097200273</c:v>
                </c:pt>
                <c:pt idx="33">
                  <c:v>0.16450355867015165</c:v>
                </c:pt>
                <c:pt idx="34">
                  <c:v>0.17608482732928921</c:v>
                </c:pt>
                <c:pt idx="35">
                  <c:v>0.1881870258152698</c:v>
                </c:pt>
                <c:pt idx="36">
                  <c:v>0.2008281242317953</c:v>
                </c:pt>
                <c:pt idx="37">
                  <c:v>0.21402737705321473</c:v>
                </c:pt>
                <c:pt idx="38">
                  <c:v>0.22780546595636042</c:v>
                </c:pt>
                <c:pt idx="39">
                  <c:v>0.24218466465176913</c:v>
                </c:pt>
                <c:pt idx="40">
                  <c:v>0.25718903012060268</c:v>
                </c:pt>
                <c:pt idx="41">
                  <c:v>0.27284462576715607</c:v>
                </c:pt>
                <c:pt idx="42">
                  <c:v>0.28917978343703377</c:v>
                </c:pt>
                <c:pt idx="43">
                  <c:v>0.30622541315060581</c:v>
                </c:pt>
                <c:pt idx="44">
                  <c:v>0.32401537193572461</c:v>
                </c:pt>
                <c:pt idx="45">
                  <c:v>0.34258690656763446</c:v>
                </c:pt>
                <c:pt idx="46">
                  <c:v>0.36198118971338866</c:v>
                </c:pt>
                <c:pt idx="47">
                  <c:v>0.38224397549751954</c:v>
                </c:pt>
                <c:pt idx="48">
                  <c:v>0.4034264097200273</c:v>
                </c:pt>
                <c:pt idx="49">
                  <c:v>0.42558604322090732</c:v>
                </c:pt>
                <c:pt idx="50">
                  <c:v>0.44878811636840954</c:v>
                </c:pt>
                <c:pt idx="51">
                  <c:v>0.47310721192694127</c:v>
                </c:pt>
                <c:pt idx="52">
                  <c:v>0.49862941870531152</c:v>
                </c:pt>
                <c:pt idx="53">
                  <c:v>0.52545522005977641</c:v>
                </c:pt>
                <c:pt idx="54">
                  <c:v>0.55370343900537089</c:v>
                </c:pt>
                <c:pt idx="55">
                  <c:v>0.58351677259045198</c:v>
                </c:pt>
                <c:pt idx="56">
                  <c:v>0.61506980729002048</c:v>
                </c:pt>
                <c:pt idx="57">
                  <c:v>0.64858108531046077</c:v>
                </c:pt>
                <c:pt idx="58">
                  <c:v>0.68433216117516094</c:v>
                </c:pt>
                <c:pt idx="59">
                  <c:v>0.72269959602143974</c:v>
                </c:pt>
                <c:pt idx="60">
                  <c:v>0.76421320486001365</c:v>
                </c:pt>
                <c:pt idx="61">
                  <c:v>0.80967480649883306</c:v>
                </c:pt>
                <c:pt idx="62">
                  <c:v>0.86044575303750848</c:v>
                </c:pt>
                <c:pt idx="63">
                  <c:v>0.91939245182250517</c:v>
                </c:pt>
                <c:pt idx="6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B2-4A97-AD0D-4EFAF075B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420671"/>
        <c:axId val="1360413951"/>
      </c:scatterChart>
      <c:valAx>
        <c:axId val="136042067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Proportion</a:t>
                </a:r>
                <a:r>
                  <a:rPr lang="en-IE" sz="1600" baseline="0"/>
                  <a:t> of Lives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413951"/>
        <c:crosses val="autoZero"/>
        <c:crossBetween val="midCat"/>
        <c:majorUnit val="0.25"/>
      </c:valAx>
      <c:valAx>
        <c:axId val="136041395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Proportion of Years Lived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420671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Moment Skewness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CrossDat!$A$10:$A$74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CrossDat!$D$10:$D$74</c:f>
              <c:numCache>
                <c:formatCode>General</c:formatCode>
                <c:ptCount val="65"/>
                <c:pt idx="0">
                  <c:v>-1.139547099404645</c:v>
                </c:pt>
                <c:pt idx="1">
                  <c:v>-1.1395470993606467</c:v>
                </c:pt>
                <c:pt idx="2">
                  <c:v>-1.1395470994057297</c:v>
                </c:pt>
                <c:pt idx="3">
                  <c:v>-1.1395470920842599</c:v>
                </c:pt>
                <c:pt idx="4">
                  <c:v>-1.1395441956054111</c:v>
                </c:pt>
                <c:pt idx="5">
                  <c:v>-1.1394565572745199</c:v>
                </c:pt>
                <c:pt idx="6">
                  <c:v>-1.1387351780014248</c:v>
                </c:pt>
                <c:pt idx="7">
                  <c:v>-1.1359197494150681</c:v>
                </c:pt>
                <c:pt idx="8">
                  <c:v>-1.1289473917804762</c:v>
                </c:pt>
                <c:pt idx="9">
                  <c:v>-1.1160101565202254</c:v>
                </c:pt>
                <c:pt idx="10">
                  <c:v>-1.096137402708298</c:v>
                </c:pt>
                <c:pt idx="11">
                  <c:v>-1.0692452425370749</c:v>
                </c:pt>
                <c:pt idx="12">
                  <c:v>-1.0358833159777439</c:v>
                </c:pt>
                <c:pt idx="13">
                  <c:v>-0.99693423761823274</c:v>
                </c:pt>
                <c:pt idx="14">
                  <c:v>-0.95338434010608886</c:v>
                </c:pt>
                <c:pt idx="15">
                  <c:v>-0.90618454148131189</c:v>
                </c:pt>
                <c:pt idx="16">
                  <c:v>-0.85618126830289687</c:v>
                </c:pt>
                <c:pt idx="17">
                  <c:v>-0.80409183777510362</c:v>
                </c:pt>
                <c:pt idx="18">
                  <c:v>-0.75050443570610015</c:v>
                </c:pt>
                <c:pt idx="19">
                  <c:v>-0.69588988795388063</c:v>
                </c:pt>
                <c:pt idx="20">
                  <c:v>-0.64061783234635539</c:v>
                </c:pt>
                <c:pt idx="21">
                  <c:v>-0.58497339503243706</c:v>
                </c:pt>
                <c:pt idx="22">
                  <c:v>-0.52917253428181443</c:v>
                </c:pt>
                <c:pt idx="23">
                  <c:v>-0.47337534711862117</c:v>
                </c:pt>
                <c:pt idx="24">
                  <c:v>-0.41769721609681087</c:v>
                </c:pt>
                <c:pt idx="25">
                  <c:v>-0.36221794595094176</c:v>
                </c:pt>
                <c:pt idx="26">
                  <c:v>-0.30698914637660907</c:v>
                </c:pt>
                <c:pt idx="27">
                  <c:v>-0.25204013951087378</c:v>
                </c:pt>
                <c:pt idx="28">
                  <c:v>-0.19738265362586696</c:v>
                </c:pt>
                <c:pt idx="29">
                  <c:v>-0.14301453183626528</c:v>
                </c:pt>
                <c:pt idx="30">
                  <c:v>-8.8922648212104882E-2</c:v>
                </c:pt>
                <c:pt idx="31">
                  <c:v>-3.5085189187980245E-2</c:v>
                </c:pt>
                <c:pt idx="32">
                  <c:v>1.8526572181904653E-2</c:v>
                </c:pt>
                <c:pt idx="33">
                  <c:v>7.1946907183323403E-2</c:v>
                </c:pt>
                <c:pt idx="34">
                  <c:v>0.12521458677937558</c:v>
                </c:pt>
                <c:pt idx="35">
                  <c:v>0.17837209762821868</c:v>
                </c:pt>
                <c:pt idx="36">
                  <c:v>0.23146506889815452</c:v>
                </c:pt>
                <c:pt idx="37">
                  <c:v>0.28454187109448714</c:v>
                </c:pt>
                <c:pt idx="38">
                  <c:v>0.33765335704333221</c:v>
                </c:pt>
                <c:pt idx="39">
                  <c:v>0.39085272240485375</c:v>
                </c:pt>
                <c:pt idx="40">
                  <c:v>0.44419546900347767</c:v>
                </c:pt>
                <c:pt idx="41">
                  <c:v>0.49773945919177703</c:v>
                </c:pt>
                <c:pt idx="42">
                  <c:v>0.5515450536853389</c:v>
                </c:pt>
                <c:pt idx="43">
                  <c:v>0.6056753290498571</c:v>
                </c:pt>
                <c:pt idx="44">
                  <c:v>0.66019637450920476</c:v>
                </c:pt>
                <c:pt idx="45">
                  <c:v>0.71517767117964715</c:v>
                </c:pt>
                <c:pt idx="46">
                  <c:v>0.77069256042659218</c:v>
                </c:pt>
                <c:pt idx="47">
                  <c:v>0.82681881203551744</c:v>
                </c:pt>
                <c:pt idx="48">
                  <c:v>0.88363930757049547</c:v>
                </c:pt>
                <c:pt idx="49">
                  <c:v>0.94124286003056523</c:v>
                </c:pt>
                <c:pt idx="50">
                  <c:v>0.99972519823149653</c:v>
                </c:pt>
                <c:pt idx="51">
                  <c:v>1.0591901539007156</c:v>
                </c:pt>
                <c:pt idx="52">
                  <c:v>1.1197511024098288</c:v>
                </c:pt>
                <c:pt idx="53">
                  <c:v>1.1815327257612924</c:v>
                </c:pt>
                <c:pt idx="54">
                  <c:v>1.2446731914344433</c:v>
                </c:pt>
                <c:pt idx="55">
                  <c:v>1.3093268766188018</c:v>
                </c:pt>
                <c:pt idx="56">
                  <c:v>1.3756678206602175</c:v>
                </c:pt>
                <c:pt idx="57">
                  <c:v>1.4438941682877218</c:v>
                </c:pt>
                <c:pt idx="58">
                  <c:v>1.5142339818147332</c:v>
                </c:pt>
                <c:pt idx="59">
                  <c:v>1.5869529826896829</c:v>
                </c:pt>
                <c:pt idx="60">
                  <c:v>1.6623653211261791</c:v>
                </c:pt>
                <c:pt idx="61">
                  <c:v>1.7408484626142378</c:v>
                </c:pt>
                <c:pt idx="62">
                  <c:v>1.8228652191718451</c:v>
                </c:pt>
                <c:pt idx="63">
                  <c:v>1.9089973305016492</c:v>
                </c:pt>
                <c:pt idx="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7E-4556-B5C0-55EFAAEE38DD}"/>
            </c:ext>
          </c:extLst>
        </c:ser>
        <c:ser>
          <c:idx val="1"/>
          <c:order val="1"/>
          <c:tx>
            <c:v>Moment Kurtosis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CrossDat!$A$10:$A$74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CrossDat!$E$10:$E$74</c:f>
              <c:numCache>
                <c:formatCode>General</c:formatCode>
                <c:ptCount val="65"/>
                <c:pt idx="0">
                  <c:v>2.4</c:v>
                </c:pt>
                <c:pt idx="1">
                  <c:v>2.39999999806196</c:v>
                </c:pt>
                <c:pt idx="2">
                  <c:v>2.3999999999659698</c:v>
                </c:pt>
                <c:pt idx="3">
                  <c:v>2.3999998269072869</c:v>
                </c:pt>
                <c:pt idx="4">
                  <c:v>2.3999468930857772</c:v>
                </c:pt>
                <c:pt idx="5">
                  <c:v>2.3986386741421275</c:v>
                </c:pt>
                <c:pt idx="6">
                  <c:v>2.3895693715051078</c:v>
                </c:pt>
                <c:pt idx="7">
                  <c:v>2.3591328915710639</c:v>
                </c:pt>
                <c:pt idx="8">
                  <c:v>2.2933081733225942</c:v>
                </c:pt>
                <c:pt idx="9">
                  <c:v>2.1853966244817302</c:v>
                </c:pt>
                <c:pt idx="10">
                  <c:v>2.037652785417587</c:v>
                </c:pt>
                <c:pt idx="11">
                  <c:v>1.8582747634122847</c:v>
                </c:pt>
                <c:pt idx="12">
                  <c:v>1.657627289692303</c:v>
                </c:pt>
                <c:pt idx="13">
                  <c:v>1.4456473068790905</c:v>
                </c:pt>
                <c:pt idx="14">
                  <c:v>1.2306145277361937</c:v>
                </c:pt>
                <c:pt idx="15">
                  <c:v>1.018839271216011</c:v>
                </c:pt>
                <c:pt idx="16">
                  <c:v>0.81481567598167259</c:v>
                </c:pt>
                <c:pt idx="17">
                  <c:v>0.62154823577889762</c:v>
                </c:pt>
                <c:pt idx="18">
                  <c:v>0.44090044095572667</c:v>
                </c:pt>
                <c:pt idx="19">
                  <c:v>0.27390163156839087</c:v>
                </c:pt>
                <c:pt idx="20">
                  <c:v>0.12099354072554749</c:v>
                </c:pt>
                <c:pt idx="21">
                  <c:v>-1.7781653398529811E-2</c:v>
                </c:pt>
                <c:pt idx="22">
                  <c:v>-0.14264257876548328</c:v>
                </c:pt>
                <c:pt idx="23">
                  <c:v>-0.25396867023648839</c:v>
                </c:pt>
                <c:pt idx="24">
                  <c:v>-0.35222941452945628</c:v>
                </c:pt>
                <c:pt idx="25">
                  <c:v>-0.4379351018513426</c:v>
                </c:pt>
                <c:pt idx="26">
                  <c:v>-0.51160311152107063</c:v>
                </c:pt>
                <c:pt idx="27">
                  <c:v>-0.57373526226465477</c:v>
                </c:pt>
                <c:pt idx="28">
                  <c:v>-0.6248029467902223</c:v>
                </c:pt>
                <c:pt idx="29">
                  <c:v>-0.66523767260609534</c:v>
                </c:pt>
                <c:pt idx="30">
                  <c:v>-0.69542529910134787</c:v>
                </c:pt>
                <c:pt idx="31">
                  <c:v>-0.71570274762025254</c:v>
                </c:pt>
                <c:pt idx="32">
                  <c:v>-0.72635631193261208</c:v>
                </c:pt>
                <c:pt idx="33">
                  <c:v>-0.7276209469835353</c:v>
                </c:pt>
                <c:pt idx="34">
                  <c:v>-0.71968009126607735</c:v>
                </c:pt>
                <c:pt idx="35">
                  <c:v>-0.70266570268066664</c:v>
                </c:pt>
                <c:pt idx="36">
                  <c:v>-0.67665827389553335</c:v>
                </c:pt>
                <c:pt idx="37">
                  <c:v>-0.64168665143939085</c:v>
                </c:pt>
                <c:pt idx="38">
                  <c:v>-0.59772752039355814</c:v>
                </c:pt>
                <c:pt idx="39">
                  <c:v>-0.54470443871491259</c:v>
                </c:pt>
                <c:pt idx="40">
                  <c:v>-0.48248631531496727</c:v>
                </c:pt>
                <c:pt idx="41">
                  <c:v>-0.41088522616372741</c:v>
                </c:pt>
                <c:pt idx="42">
                  <c:v>-0.32965345399174778</c:v>
                </c:pt>
                <c:pt idx="43">
                  <c:v>-0.23847961983802463</c:v>
                </c:pt>
                <c:pt idx="44">
                  <c:v>-0.1369837481138157</c:v>
                </c:pt>
                <c:pt idx="45">
                  <c:v>-2.4711069552455105E-2</c:v>
                </c:pt>
                <c:pt idx="46">
                  <c:v>9.887568423778284E-2</c:v>
                </c:pt>
                <c:pt idx="47">
                  <c:v>0.23440580879004189</c:v>
                </c:pt>
                <c:pt idx="48">
                  <c:v>0.38261238248560137</c:v>
                </c:pt>
                <c:pt idx="49">
                  <c:v>0.54434677786818308</c:v>
                </c:pt>
                <c:pt idx="50">
                  <c:v>0.72059662337184627</c:v>
                </c:pt>
                <c:pt idx="51">
                  <c:v>0.91250814064025376</c:v>
                </c:pt>
                <c:pt idx="52">
                  <c:v>1.1214141040389216</c:v>
                </c:pt>
                <c:pt idx="53">
                  <c:v>1.3488691268603612</c:v>
                </c:pt>
                <c:pt idx="54">
                  <c:v>1.596694641521291</c:v>
                </c:pt>
                <c:pt idx="55">
                  <c:v>1.8670369099816528</c:v>
                </c:pt>
                <c:pt idx="56">
                  <c:v>2.1624428847335966</c:v>
                </c:pt>
                <c:pt idx="57">
                  <c:v>2.4859608347167796</c:v>
                </c:pt>
                <c:pt idx="58">
                  <c:v>2.8412783145310776</c:v>
                </c:pt>
                <c:pt idx="59">
                  <c:v>3.2329094860398784</c:v>
                </c:pt>
                <c:pt idx="60">
                  <c:v>3.6664646378087968</c:v>
                </c:pt>
                <c:pt idx="61">
                  <c:v>4.1490473642046277</c:v>
                </c:pt>
                <c:pt idx="62">
                  <c:v>4.6898583968518315</c:v>
                </c:pt>
                <c:pt idx="63">
                  <c:v>5.3011693861850508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7E-4556-B5C0-55EFAAEE3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576400"/>
        <c:axId val="768593200"/>
      </c:scatterChart>
      <c:valAx>
        <c:axId val="7685764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Coefficient of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593200"/>
        <c:crosses val="autoZero"/>
        <c:crossBetween val="midCat"/>
        <c:majorUnit val="0.25"/>
      </c:valAx>
      <c:valAx>
        <c:axId val="768593200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57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L-skewness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CrossDat!$G$10:$G$74</c:f>
              <c:numCache>
                <c:formatCode>General</c:formatCode>
                <c:ptCount val="65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  <c:pt idx="64">
                  <c:v>0.5</c:v>
                </c:pt>
              </c:numCache>
            </c:numRef>
          </c:xVal>
          <c:yVal>
            <c:numRef>
              <c:f>CrossDat!$I$10:$I$74</c:f>
              <c:numCache>
                <c:formatCode>General</c:formatCode>
                <c:ptCount val="65"/>
                <c:pt idx="0">
                  <c:v>-0.1699250014423126</c:v>
                </c:pt>
                <c:pt idx="1">
                  <c:v>-0.16992500144229705</c:v>
                </c:pt>
                <c:pt idx="2">
                  <c:v>-0.16992500144229705</c:v>
                </c:pt>
                <c:pt idx="3">
                  <c:v>-0.16992500143959757</c:v>
                </c:pt>
                <c:pt idx="4">
                  <c:v>-0.16992499822779697</c:v>
                </c:pt>
                <c:pt idx="5">
                  <c:v>-0.16992478862627627</c:v>
                </c:pt>
                <c:pt idx="6">
                  <c:v>-0.16992165744235935</c:v>
                </c:pt>
                <c:pt idx="7">
                  <c:v>-0.16990178861634567</c:v>
                </c:pt>
                <c:pt idx="8">
                  <c:v>-0.16982796363377864</c:v>
                </c:pt>
                <c:pt idx="9">
                  <c:v>-0.16963488918573991</c:v>
                </c:pt>
                <c:pt idx="10">
                  <c:v>-0.16923732444471479</c:v>
                </c:pt>
                <c:pt idx="11">
                  <c:v>-0.16854505405111422</c:v>
                </c:pt>
                <c:pt idx="12">
                  <c:v>-0.16747642906937471</c:v>
                </c:pt>
                <c:pt idx="13">
                  <c:v>-0.16596638908462838</c:v>
                </c:pt>
                <c:pt idx="14">
                  <c:v>-0.16396902840304181</c:v>
                </c:pt>
                <c:pt idx="15">
                  <c:v>-0.16145652886653114</c:v>
                </c:pt>
                <c:pt idx="16">
                  <c:v>-0.15841631916457791</c:v>
                </c:pt>
                <c:pt idx="17">
                  <c:v>-0.15484773917448533</c:v>
                </c:pt>
                <c:pt idx="18">
                  <c:v>-0.15075890207691028</c:v>
                </c:pt>
                <c:pt idx="19">
                  <c:v>-0.14616404397072774</c:v>
                </c:pt>
                <c:pt idx="20">
                  <c:v>-0.14108142385235345</c:v>
                </c:pt>
                <c:pt idx="21">
                  <c:v>-0.13553172950887798</c:v>
                </c:pt>
                <c:pt idx="22">
                  <c:v>-0.12953690576513921</c:v>
                </c:pt>
                <c:pt idx="23">
                  <c:v>-0.12311931650108118</c:v>
                </c:pt>
                <c:pt idx="24">
                  <c:v>-0.11630116140419601</c:v>
                </c:pt>
                <c:pt idx="25">
                  <c:v>-0.10910408251214325</c:v>
                </c:pt>
                <c:pt idx="26">
                  <c:v>-0.10154890961020425</c:v>
                </c:pt>
                <c:pt idx="27">
                  <c:v>-9.3655505677526577E-2</c:v>
                </c:pt>
                <c:pt idx="28">
                  <c:v>-8.5442683378444975E-2</c:v>
                </c:pt>
                <c:pt idx="29">
                  <c:v>-7.6928171212490001E-2</c:v>
                </c:pt>
                <c:pt idx="30">
                  <c:v>-6.8128613712227601E-2</c:v>
                </c:pt>
                <c:pt idx="31">
                  <c:v>-5.9059594389016902E-2</c:v>
                </c:pt>
                <c:pt idx="32">
                  <c:v>-4.9735673309733518E-2</c:v>
                </c:pt>
                <c:pt idx="33">
                  <c:v>-4.0170433519589467E-2</c:v>
                </c:pt>
                <c:pt idx="34">
                  <c:v>-3.0376532225233802E-2</c:v>
                </c:pt>
                <c:pt idx="35">
                  <c:v>-2.0365753883261197E-2</c:v>
                </c:pt>
                <c:pt idx="36">
                  <c:v>-1.0149063227818621E-2</c:v>
                </c:pt>
                <c:pt idx="37">
                  <c:v>2.6334309280635898E-4</c:v>
                </c:pt>
                <c:pt idx="38">
                  <c:v>1.0861987146757204E-2</c:v>
                </c:pt>
                <c:pt idx="39">
                  <c:v>2.1638063173405855E-2</c:v>
                </c:pt>
                <c:pt idx="40">
                  <c:v>3.2583394197733241E-2</c:v>
                </c:pt>
                <c:pt idx="41">
                  <c:v>4.3690391990002277E-2</c:v>
                </c:pt>
                <c:pt idx="42">
                  <c:v>5.4952020459412089E-2</c:v>
                </c:pt>
                <c:pt idx="43">
                  <c:v>6.6361762513665712E-2</c:v>
                </c:pt>
                <c:pt idx="44">
                  <c:v>7.7913590389551535E-2</c:v>
                </c:pt>
                <c:pt idx="45">
                  <c:v>8.9601939457834748E-2</c:v>
                </c:pt>
                <c:pt idx="46">
                  <c:v>0.10142168552442272</c:v>
                </c:pt>
                <c:pt idx="47">
                  <c:v>0.11336812568897486</c:v>
                </c:pt>
                <c:pt idx="48">
                  <c:v>0.12543696288173264</c:v>
                </c:pt>
                <c:pt idx="49">
                  <c:v>0.13762429428382014</c:v>
                </c:pt>
                <c:pt idx="50">
                  <c:v>0.14992660395279886</c:v>
                </c:pt>
                <c:pt idx="51">
                  <c:v>0.16234076013213983</c:v>
                </c:pt>
                <c:pt idx="52">
                  <c:v>0.17486401794479423</c:v>
                </c:pt>
                <c:pt idx="53">
                  <c:v>0.18749402847339278</c:v>
                </c:pt>
                <c:pt idx="54">
                  <c:v>0.20022885568082996</c:v>
                </c:pt>
                <c:pt idx="55">
                  <c:v>0.21306700325820019</c:v>
                </c:pt>
                <c:pt idx="56">
                  <c:v>0.22600745447805246</c:v>
                </c:pt>
                <c:pt idx="57">
                  <c:v>0.23904972991789444</c:v>
                </c:pt>
                <c:pt idx="58">
                  <c:v>0.25219397007662364</c:v>
                </c:pt>
                <c:pt idx="59">
                  <c:v>0.26544104952998415</c:v>
                </c:pt>
                <c:pt idx="60">
                  <c:v>0.27879275596809333</c:v>
                </c:pt>
                <c:pt idx="61">
                  <c:v>0.29225204903245422</c:v>
                </c:pt>
                <c:pt idx="62">
                  <c:v>0.30582346325906273</c:v>
                </c:pt>
                <c:pt idx="63">
                  <c:v>0.3195137929257823</c:v>
                </c:pt>
                <c:pt idx="64">
                  <c:v>0.33333333333333331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31-4EB7-905B-2EF85EFCD38C}"/>
            </c:ext>
          </c:extLst>
        </c:ser>
        <c:ser>
          <c:idx val="1"/>
          <c:order val="1"/>
          <c:tx>
            <c:v>L-kurtosis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CrossDat!$G$10:$G$74</c:f>
              <c:numCache>
                <c:formatCode>General</c:formatCode>
                <c:ptCount val="65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  <c:pt idx="64">
                  <c:v>0.5</c:v>
                </c:pt>
              </c:numCache>
            </c:numRef>
          </c:xVal>
          <c:yVal>
            <c:numRef>
              <c:f>CrossDat!$J$10:$J$74</c:f>
              <c:numCache>
                <c:formatCode>General</c:formatCode>
                <c:ptCount val="65"/>
                <c:pt idx="0">
                  <c:v>0.15037499278843569</c:v>
                </c:pt>
                <c:pt idx="1">
                  <c:v>0.15037499278851474</c:v>
                </c:pt>
                <c:pt idx="2">
                  <c:v>0.15037499278846347</c:v>
                </c:pt>
                <c:pt idx="3">
                  <c:v>0.15037499278584127</c:v>
                </c:pt>
                <c:pt idx="4">
                  <c:v>0.15037498961659698</c:v>
                </c:pt>
                <c:pt idx="5">
                  <c:v>0.15037478495966478</c:v>
                </c:pt>
                <c:pt idx="6">
                  <c:v>0.15037176251642856</c:v>
                </c:pt>
                <c:pt idx="7">
                  <c:v>0.15035282528876701</c:v>
                </c:pt>
                <c:pt idx="8">
                  <c:v>0.15028343982704873</c:v>
                </c:pt>
                <c:pt idx="9">
                  <c:v>0.15010475075171381</c:v>
                </c:pt>
                <c:pt idx="10">
                  <c:v>0.14974297404375458</c:v>
                </c:pt>
                <c:pt idx="11">
                  <c:v>0.14912454620945212</c:v>
                </c:pt>
                <c:pt idx="12">
                  <c:v>0.14818889132362356</c:v>
                </c:pt>
                <c:pt idx="13">
                  <c:v>0.1468951933253404</c:v>
                </c:pt>
                <c:pt idx="14">
                  <c:v>0.14522366021095698</c:v>
                </c:pt>
                <c:pt idx="15">
                  <c:v>0.14317334114444938</c:v>
                </c:pt>
                <c:pt idx="16">
                  <c:v>0.14075843727659576</c:v>
                </c:pt>
                <c:pt idx="17">
                  <c:v>0.13800437598282642</c:v>
                </c:pt>
                <c:pt idx="18">
                  <c:v>0.13494429586091075</c:v>
                </c:pt>
                <c:pt idx="19">
                  <c:v>0.13161617988000712</c:v>
                </c:pt>
                <c:pt idx="20">
                  <c:v>0.12806065317499532</c:v>
                </c:pt>
                <c:pt idx="21">
                  <c:v>0.12431936442064626</c:v>
                </c:pt>
                <c:pt idx="22">
                  <c:v>0.12043384010957751</c:v>
                </c:pt>
                <c:pt idx="23">
                  <c:v>0.11644470387356411</c:v>
                </c:pt>
                <c:pt idx="24">
                  <c:v>0.11239116851022241</c:v>
                </c:pt>
                <c:pt idx="25">
                  <c:v>0.10831072681863758</c:v>
                </c:pt>
                <c:pt idx="26">
                  <c:v>0.10423898443772095</c:v>
                </c:pt>
                <c:pt idx="27">
                  <c:v>0.10020959214658232</c:v>
                </c:pt>
                <c:pt idx="28">
                  <c:v>9.6254246350872888E-2</c:v>
                </c:pt>
                <c:pt idx="29">
                  <c:v>9.2402735081373699E-2</c:v>
                </c:pt>
                <c:pt idx="30">
                  <c:v>8.8683013262867039E-2</c:v>
                </c:pt>
                <c:pt idx="31">
                  <c:v>8.5121295752067727E-2</c:v>
                </c:pt>
                <c:pt idx="32">
                  <c:v>8.1742160102719674E-2</c:v>
                </c:pt>
                <c:pt idx="33">
                  <c:v>7.8568653520970755E-2</c:v>
                </c:pt>
                <c:pt idx="34">
                  <c:v>7.5622400278142085E-2</c:v>
                </c:pt>
                <c:pt idx="35">
                  <c:v>7.2923707139252739E-2</c:v>
                </c:pt>
                <c:pt idx="36">
                  <c:v>7.0491665286765579E-2</c:v>
                </c:pt>
                <c:pt idx="37">
                  <c:v>6.8344247871852656E-2</c:v>
                </c:pt>
                <c:pt idx="38">
                  <c:v>6.6498402787418892E-2</c:v>
                </c:pt>
                <c:pt idx="39">
                  <c:v>6.4970140582422134E-2</c:v>
                </c:pt>
                <c:pt idx="40">
                  <c:v>6.3774617666729871E-2</c:v>
                </c:pt>
                <c:pt idx="41">
                  <c:v>6.2926215120013743E-2</c:v>
                </c:pt>
                <c:pt idx="42">
                  <c:v>6.2438613537972615E-2</c:v>
                </c:pt>
                <c:pt idx="43">
                  <c:v>6.2324864443195259E-2</c:v>
                </c:pt>
                <c:pt idx="44">
                  <c:v>6.2597458867922173E-2</c:v>
                </c:pt>
                <c:pt idx="45">
                  <c:v>6.3268393794100181E-2</c:v>
                </c:pt>
                <c:pt idx="46">
                  <c:v>6.4349237224419084E-2</c:v>
                </c:pt>
                <c:pt idx="47">
                  <c:v>6.5851192759285082E-2</c:v>
                </c:pt>
                <c:pt idx="48">
                  <c:v>6.7785164700878142E-2</c:v>
                </c:pt>
                <c:pt idx="49">
                  <c:v>7.0161824881210783E-2</c:v>
                </c:pt>
                <c:pt idx="50">
                  <c:v>7.2991682674338074E-2</c:v>
                </c:pt>
                <c:pt idx="51">
                  <c:v>7.6285160003102995E-2</c:v>
                </c:pt>
                <c:pt idx="52">
                  <c:v>8.0052673649436953E-2</c:v>
                </c:pt>
                <c:pt idx="53">
                  <c:v>8.430472793555556E-2</c:v>
                </c:pt>
                <c:pt idx="54">
                  <c:v>8.9052021678612356E-2</c:v>
                </c:pt>
                <c:pt idx="55">
                  <c:v>9.4305575647136569E-2</c:v>
                </c:pt>
                <c:pt idx="56">
                  <c:v>0.10007688817577358</c:v>
                </c:pt>
                <c:pt idx="57">
                  <c:v>0.10637812182344118</c:v>
                </c:pt>
                <c:pt idx="58">
                  <c:v>0.11322239190063275</c:v>
                </c:pt>
                <c:pt idx="59">
                  <c:v>0.1206240135041264</c:v>
                </c:pt>
                <c:pt idx="60">
                  <c:v>0.12859909745909048</c:v>
                </c:pt>
                <c:pt idx="61">
                  <c:v>0.13716612433626871</c:v>
                </c:pt>
                <c:pt idx="62">
                  <c:v>0.14634701477141696</c:v>
                </c:pt>
                <c:pt idx="63">
                  <c:v>0.1561688064635256</c:v>
                </c:pt>
                <c:pt idx="64">
                  <c:v>0.16666666666666666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31-4EB7-905B-2EF85EFCD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4760416"/>
        <c:axId val="984760896"/>
      </c:scatterChart>
      <c:valAx>
        <c:axId val="984760416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Gini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4760896"/>
        <c:crosses val="autoZero"/>
        <c:crossBetween val="midCat"/>
        <c:majorUnit val="0.1"/>
      </c:valAx>
      <c:valAx>
        <c:axId val="9847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476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CrossDat!$V$10:$V$44</c:f>
              <c:numCache>
                <c:formatCode>General</c:formatCode>
                <c:ptCount val="35"/>
                <c:pt idx="0">
                  <c:v>1</c:v>
                </c:pt>
                <c:pt idx="1">
                  <c:v>1.0092468746956706</c:v>
                </c:pt>
                <c:pt idx="2">
                  <c:v>1.0189731373217705</c:v>
                </c:pt>
                <c:pt idx="3">
                  <c:v>1.0292170578795989</c:v>
                </c:pt>
                <c:pt idx="4">
                  <c:v>1.0400207586172567</c:v>
                </c:pt>
                <c:pt idx="5">
                  <c:v>1.0514239237794492</c:v>
                </c:pt>
                <c:pt idx="6">
                  <c:v>1.0634295513330776</c:v>
                </c:pt>
                <c:pt idx="7">
                  <c:v>1.0759428730454628</c:v>
                </c:pt>
                <c:pt idx="8">
                  <c:v>1.0887337730750228</c:v>
                </c:pt>
                <c:pt idx="9">
                  <c:v>1.1014527086416297</c:v>
                </c:pt>
                <c:pt idx="10">
                  <c:v>1.1136809996389394</c:v>
                </c:pt>
                <c:pt idx="11">
                  <c:v>1.1249840122375128</c:v>
                </c:pt>
                <c:pt idx="12">
                  <c:v>1.1349494043682591</c:v>
                </c:pt>
                <c:pt idx="13">
                  <c:v>1.143207096144272</c:v>
                </c:pt>
                <c:pt idx="14">
                  <c:v>1.1494348151955784</c:v>
                </c:pt>
                <c:pt idx="15">
                  <c:v>1.1533546182192924</c:v>
                </c:pt>
                <c:pt idx="16">
                  <c:v>1.1547248337321665</c:v>
                </c:pt>
                <c:pt idx="17">
                  <c:v>1.1543425458731913</c:v>
                </c:pt>
                <c:pt idx="18">
                  <c:v>1.1502759059704213</c:v>
                </c:pt>
                <c:pt idx="19">
                  <c:v>1.1429248821543494</c:v>
                </c:pt>
                <c:pt idx="20">
                  <c:v>1.1331471830187287</c:v>
                </c:pt>
                <c:pt idx="21">
                  <c:v>1.1214520885669637</c:v>
                </c:pt>
                <c:pt idx="22">
                  <c:v>1.1081731849725789</c:v>
                </c:pt>
                <c:pt idx="23">
                  <c:v>1.0935442599285397</c:v>
                </c:pt>
                <c:pt idx="24">
                  <c:v>1.0777374780943438</c:v>
                </c:pt>
                <c:pt idx="25">
                  <c:v>1.0608845183277034</c:v>
                </c:pt>
                <c:pt idx="26">
                  <c:v>1.043089152073013</c:v>
                </c:pt>
                <c:pt idx="27">
                  <c:v>1.0244351621463064</c:v>
                </c:pt>
                <c:pt idx="28">
                  <c:v>1.004991558990987</c:v>
                </c:pt>
                <c:pt idx="29">
                  <c:v>0.98481614713100663</c:v>
                </c:pt>
                <c:pt idx="30">
                  <c:v>0.96395804090752524</c:v>
                </c:pt>
                <c:pt idx="31">
                  <c:v>0.94245948676134061</c:v>
                </c:pt>
                <c:pt idx="32">
                  <c:v>0.92035721370667734</c:v>
                </c:pt>
                <c:pt idx="33">
                  <c:v>0.89768345424458984</c:v>
                </c:pt>
                <c:pt idx="34">
                  <c:v>0.87446672973012618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DE-49E9-9BA3-8D182F0C2751}"/>
            </c:ext>
          </c:extLst>
        </c:ser>
        <c:ser>
          <c:idx val="1"/>
          <c:order val="1"/>
          <c:tx>
            <c:v>Median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CrossDat!$W$10:$W$44</c:f>
              <c:numCache>
                <c:formatCode>General</c:formatCode>
                <c:ptCount val="35"/>
                <c:pt idx="0">
                  <c:v>1</c:v>
                </c:pt>
                <c:pt idx="1">
                  <c:v>1.0033754140665814</c:v>
                </c:pt>
                <c:pt idx="2">
                  <c:v>1.0069258205297056</c:v>
                </c:pt>
                <c:pt idx="3">
                  <c:v>1.0106651883240065</c:v>
                </c:pt>
                <c:pt idx="4">
                  <c:v>1.0146087189843191</c:v>
                </c:pt>
                <c:pt idx="5">
                  <c:v>1.0187672022048069</c:v>
                </c:pt>
                <c:pt idx="6">
                  <c:v>1.0231192739336432</c:v>
                </c:pt>
                <c:pt idx="7">
                  <c:v>1.0275680106915639</c:v>
                </c:pt>
                <c:pt idx="8">
                  <c:v>1.0319260368781014</c:v>
                </c:pt>
                <c:pt idx="9">
                  <c:v>1.0359465760048616</c:v>
                </c:pt>
                <c:pt idx="10">
                  <c:v>1.039375653006759</c:v>
                </c:pt>
                <c:pt idx="11">
                  <c:v>1.041996584687964</c:v>
                </c:pt>
                <c:pt idx="12">
                  <c:v>1.0436544303069866</c:v>
                </c:pt>
                <c:pt idx="13">
                  <c:v>1.0442616712694701</c:v>
                </c:pt>
                <c:pt idx="14">
                  <c:v>1.0437916433806742</c:v>
                </c:pt>
                <c:pt idx="15">
                  <c:v>1.042266182621171</c:v>
                </c:pt>
                <c:pt idx="16">
                  <c:v>1.0397419941363866</c:v>
                </c:pt>
                <c:pt idx="17">
                  <c:v>1.0380246938504769</c:v>
                </c:pt>
                <c:pt idx="18">
                  <c:v>1.0331019129757264</c:v>
                </c:pt>
                <c:pt idx="19">
                  <c:v>1.0278938184650652</c:v>
                </c:pt>
                <c:pt idx="20">
                  <c:v>1.0226025592382224</c:v>
                </c:pt>
                <c:pt idx="21">
                  <c:v>1.0173301752810204</c:v>
                </c:pt>
                <c:pt idx="22">
                  <c:v>1.0121318264743333</c:v>
                </c:pt>
                <c:pt idx="23">
                  <c:v>1.0070381556287002</c:v>
                </c:pt>
                <c:pt idx="24">
                  <c:v>1.002066007473821</c:v>
                </c:pt>
                <c:pt idx="25">
                  <c:v>0.99722406090740023</c:v>
                </c:pt>
                <c:pt idx="26">
                  <c:v>0.99251599467866991</c:v>
                </c:pt>
                <c:pt idx="27">
                  <c:v>0.98794235973306832</c:v>
                </c:pt>
                <c:pt idx="28">
                  <c:v>0.98350173094449711</c:v>
                </c:pt>
                <c:pt idx="29">
                  <c:v>0.97919143746606763</c:v>
                </c:pt>
                <c:pt idx="30">
                  <c:v>0.97500803684255688</c:v>
                </c:pt>
                <c:pt idx="31">
                  <c:v>0.97094762822751379</c:v>
                </c:pt>
                <c:pt idx="32">
                  <c:v>0.96700606186056226</c:v>
                </c:pt>
                <c:pt idx="33">
                  <c:v>0.96317908017441245</c:v>
                </c:pt>
                <c:pt idx="34">
                  <c:v>0.95946241301982271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DE-49E9-9BA3-8D182F0C2751}"/>
            </c:ext>
          </c:extLst>
        </c:ser>
        <c:ser>
          <c:idx val="3"/>
          <c:order val="2"/>
          <c:tx>
            <c:v>Mean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CrossDat!$AA$6:$AA$7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xVal>
          <c:yVal>
            <c:numRef>
              <c:f>CrossDat!$AB$6:$AB$7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DE-49E9-9BA3-8D182F0C2751}"/>
            </c:ext>
          </c:extLst>
        </c:ser>
        <c:ser>
          <c:idx val="2"/>
          <c:order val="3"/>
          <c:tx>
            <c:v>Mackle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CrossDat!$AC$10:$AC$44</c:f>
              <c:numCache>
                <c:formatCode>General</c:formatCode>
                <c:ptCount val="35"/>
                <c:pt idx="0">
                  <c:v>1</c:v>
                </c:pt>
                <c:pt idx="1">
                  <c:v>0.99252531136482647</c:v>
                </c:pt>
                <c:pt idx="2">
                  <c:v>0.98466311066997247</c:v>
                </c:pt>
                <c:pt idx="3">
                  <c:v>0.97638257221044367</c:v>
                </c:pt>
                <c:pt idx="4">
                  <c:v>0.96766160302143933</c:v>
                </c:pt>
                <c:pt idx="5">
                  <c:v>0.95861593304296999</c:v>
                </c:pt>
                <c:pt idx="6">
                  <c:v>0.949756445357409</c:v>
                </c:pt>
                <c:pt idx="7">
                  <c:v>0.94191969439812007</c:v>
                </c:pt>
                <c:pt idx="8">
                  <c:v>0.9358630886982866</c:v>
                </c:pt>
                <c:pt idx="9">
                  <c:v>0.93199966324294081</c:v>
                </c:pt>
                <c:pt idx="10">
                  <c:v>0.93039753654121848</c:v>
                </c:pt>
                <c:pt idx="11">
                  <c:v>0.9308981672604526</c:v>
                </c:pt>
                <c:pt idx="12">
                  <c:v>0.93323450093887517</c:v>
                </c:pt>
                <c:pt idx="13">
                  <c:v>0.9371107950115497</c:v>
                </c:pt>
                <c:pt idx="14">
                  <c:v>0.94224619799851028</c:v>
                </c:pt>
                <c:pt idx="15">
                  <c:v>0.94839399732572494</c:v>
                </c:pt>
                <c:pt idx="16">
                  <c:v>0.95534702278568639</c:v>
                </c:pt>
                <c:pt idx="17">
                  <c:v>0.95930159175868834</c:v>
                </c:pt>
                <c:pt idx="18">
                  <c:v>0.9690817323367843</c:v>
                </c:pt>
                <c:pt idx="19">
                  <c:v>0.97808733442479057</c:v>
                </c:pt>
                <c:pt idx="20">
                  <c:v>0.98645219819491214</c:v>
                </c:pt>
                <c:pt idx="21">
                  <c:v>0.99427933921742839</c:v>
                </c:pt>
                <c:pt idx="22">
                  <c:v>1.0016477946500115</c:v>
                </c:pt>
                <c:pt idx="23">
                  <c:v>1.0086191935642559</c:v>
                </c:pt>
                <c:pt idx="24">
                  <c:v>1.0152425153005444</c:v>
                </c:pt>
                <c:pt idx="25">
                  <c:v>1.0215573936141069</c:v>
                </c:pt>
                <c:pt idx="26">
                  <c:v>1.0275964210045099</c:v>
                </c:pt>
                <c:pt idx="27">
                  <c:v>1.0333867825961871</c:v>
                </c:pt>
                <c:pt idx="28">
                  <c:v>1.0389514373439088</c:v>
                </c:pt>
                <c:pt idx="29">
                  <c:v>1.0443099885459748</c:v>
                </c:pt>
                <c:pt idx="30">
                  <c:v>1.0494793370396562</c:v>
                </c:pt>
                <c:pt idx="31">
                  <c:v>1.054474179488053</c:v>
                </c:pt>
                <c:pt idx="32">
                  <c:v>1.0593073942438036</c:v>
                </c:pt>
                <c:pt idx="33">
                  <c:v>1.0639903442501188</c:v>
                </c:pt>
                <c:pt idx="34">
                  <c:v>1.0685331177721364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DE-49E9-9BA3-8D182F0C2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2667696"/>
        <c:axId val="1652302688"/>
      </c:scatterChart>
      <c:valAx>
        <c:axId val="1652667696"/>
        <c:scaling>
          <c:orientation val="minMax"/>
          <c:max val="0.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Shape parameter </a:t>
                </a:r>
                <a:r>
                  <a:rPr lang="el-GR" sz="1600"/>
                  <a:t>η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302688"/>
        <c:crosses val="autoZero"/>
        <c:crossBetween val="midCat"/>
        <c:majorUnit val="0.1"/>
      </c:valAx>
      <c:valAx>
        <c:axId val="1652302688"/>
        <c:scaling>
          <c:orientation val="minMax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Location relativ</a:t>
                </a:r>
                <a:r>
                  <a:rPr lang="en-IE" sz="1600" baseline="0"/>
                  <a:t>e to Mean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667696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Median = MH1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CrossDat!$W$10:$W$44</c:f>
              <c:numCache>
                <c:formatCode>General</c:formatCode>
                <c:ptCount val="35"/>
                <c:pt idx="0">
                  <c:v>1</c:v>
                </c:pt>
                <c:pt idx="1">
                  <c:v>1.0033754140665814</c:v>
                </c:pt>
                <c:pt idx="2">
                  <c:v>1.0069258205297056</c:v>
                </c:pt>
                <c:pt idx="3">
                  <c:v>1.0106651883240065</c:v>
                </c:pt>
                <c:pt idx="4">
                  <c:v>1.0146087189843191</c:v>
                </c:pt>
                <c:pt idx="5">
                  <c:v>1.0187672022048069</c:v>
                </c:pt>
                <c:pt idx="6">
                  <c:v>1.0231192739336432</c:v>
                </c:pt>
                <c:pt idx="7">
                  <c:v>1.0275680106915639</c:v>
                </c:pt>
                <c:pt idx="8">
                  <c:v>1.0319260368781014</c:v>
                </c:pt>
                <c:pt idx="9">
                  <c:v>1.0359465760048616</c:v>
                </c:pt>
                <c:pt idx="10">
                  <c:v>1.039375653006759</c:v>
                </c:pt>
                <c:pt idx="11">
                  <c:v>1.041996584687964</c:v>
                </c:pt>
                <c:pt idx="12">
                  <c:v>1.0436544303069866</c:v>
                </c:pt>
                <c:pt idx="13">
                  <c:v>1.0442616712694701</c:v>
                </c:pt>
                <c:pt idx="14">
                  <c:v>1.0437916433806742</c:v>
                </c:pt>
                <c:pt idx="15">
                  <c:v>1.042266182621171</c:v>
                </c:pt>
                <c:pt idx="16">
                  <c:v>1.0397419941363866</c:v>
                </c:pt>
                <c:pt idx="17">
                  <c:v>1.0380246938504769</c:v>
                </c:pt>
                <c:pt idx="18">
                  <c:v>1.0331019129757264</c:v>
                </c:pt>
                <c:pt idx="19">
                  <c:v>1.0278938184650652</c:v>
                </c:pt>
                <c:pt idx="20">
                  <c:v>1.0226025592382224</c:v>
                </c:pt>
                <c:pt idx="21">
                  <c:v>1.0173301752810204</c:v>
                </c:pt>
                <c:pt idx="22">
                  <c:v>1.0121318264743333</c:v>
                </c:pt>
                <c:pt idx="23">
                  <c:v>1.0070381556287002</c:v>
                </c:pt>
                <c:pt idx="24">
                  <c:v>1.002066007473821</c:v>
                </c:pt>
                <c:pt idx="25">
                  <c:v>0.99722406090740023</c:v>
                </c:pt>
                <c:pt idx="26">
                  <c:v>0.99251599467866991</c:v>
                </c:pt>
                <c:pt idx="27">
                  <c:v>0.98794235973306832</c:v>
                </c:pt>
                <c:pt idx="28">
                  <c:v>0.98350173094449711</c:v>
                </c:pt>
                <c:pt idx="29">
                  <c:v>0.97919143746606763</c:v>
                </c:pt>
                <c:pt idx="30">
                  <c:v>0.97500803684255688</c:v>
                </c:pt>
                <c:pt idx="31">
                  <c:v>0.97094762822751379</c:v>
                </c:pt>
                <c:pt idx="32">
                  <c:v>0.96700606186056226</c:v>
                </c:pt>
                <c:pt idx="33">
                  <c:v>0.96317908017441245</c:v>
                </c:pt>
                <c:pt idx="34">
                  <c:v>0.95946241301982271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9D-454F-BC93-ADF871133702}"/>
            </c:ext>
          </c:extLst>
        </c:ser>
        <c:ser>
          <c:idx val="1"/>
          <c:order val="1"/>
          <c:tx>
            <c:v>MH2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CrossDat!$Z$10:$Z$44</c:f>
              <c:numCache>
                <c:formatCode>General</c:formatCode>
                <c:ptCount val="35"/>
                <c:pt idx="0">
                  <c:v>1</c:v>
                </c:pt>
                <c:pt idx="1">
                  <c:v>1.0018836572941994</c:v>
                </c:pt>
                <c:pt idx="2">
                  <c:v>1.0038649694827697</c:v>
                </c:pt>
                <c:pt idx="3">
                  <c:v>1.0059517313716198</c:v>
                </c:pt>
                <c:pt idx="4">
                  <c:v>1.0081523108484518</c:v>
                </c:pt>
                <c:pt idx="5">
                  <c:v>1.0104703315937722</c:v>
                </c:pt>
                <c:pt idx="6">
                  <c:v>1.0128796946395855</c:v>
                </c:pt>
                <c:pt idx="7">
                  <c:v>1.0152885581927185</c:v>
                </c:pt>
                <c:pt idx="8">
                  <c:v>1.0175338044351474</c:v>
                </c:pt>
                <c:pt idx="9">
                  <c:v>1.0194178802218647</c:v>
                </c:pt>
                <c:pt idx="10">
                  <c:v>1.0207603105581633</c:v>
                </c:pt>
                <c:pt idx="11">
                  <c:v>1.0214356804247327</c:v>
                </c:pt>
                <c:pt idx="12">
                  <c:v>1.0213881767581507</c:v>
                </c:pt>
                <c:pt idx="13">
                  <c:v>1.0206266230299978</c:v>
                </c:pt>
                <c:pt idx="14">
                  <c:v>1.0192086701455378</c:v>
                </c:pt>
                <c:pt idx="15">
                  <c:v>1.0172219113812961</c:v>
                </c:pt>
                <c:pt idx="16">
                  <c:v>1.014766876598411</c:v>
                </c:pt>
                <c:pt idx="17">
                  <c:v>1.0133096742858045</c:v>
                </c:pt>
                <c:pt idx="18">
                  <c:v>1.0095960136290698</c:v>
                </c:pt>
                <c:pt idx="19">
                  <c:v>1.0061056579858718</c:v>
                </c:pt>
                <c:pt idx="20">
                  <c:v>1.0028474260981832</c:v>
                </c:pt>
                <c:pt idx="21">
                  <c:v>0.99980708357748405</c:v>
                </c:pt>
                <c:pt idx="22">
                  <c:v>0.99696452135479496</c:v>
                </c:pt>
                <c:pt idx="23">
                  <c:v>0.99429935292543148</c:v>
                </c:pt>
                <c:pt idx="24">
                  <c:v>0.99179276117615667</c:v>
                </c:pt>
                <c:pt idx="25">
                  <c:v>0.98942799874477461</c:v>
                </c:pt>
                <c:pt idx="26">
                  <c:v>0.98719038722490315</c:v>
                </c:pt>
                <c:pt idx="27">
                  <c:v>0.98506713826808134</c:v>
                </c:pt>
                <c:pt idx="28">
                  <c:v>0.98304712538906291</c:v>
                </c:pt>
                <c:pt idx="29">
                  <c:v>0.98112065776019008</c:v>
                </c:pt>
                <c:pt idx="30">
                  <c:v>0.97927927498124834</c:v>
                </c:pt>
                <c:pt idx="31">
                  <c:v>0.97751556813810858</c:v>
                </c:pt>
                <c:pt idx="32">
                  <c:v>0.97582302679038202</c:v>
                </c:pt>
                <c:pt idx="33">
                  <c:v>0.97419590937160216</c:v>
                </c:pt>
                <c:pt idx="34">
                  <c:v>0.97262913387655647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9D-454F-BC93-ADF871133702}"/>
            </c:ext>
          </c:extLst>
        </c:ser>
        <c:ser>
          <c:idx val="2"/>
          <c:order val="2"/>
          <c:tx>
            <c:v>MH3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CrossDat!$AA$10:$AA$44</c:f>
              <c:numCache>
                <c:formatCode>General</c:formatCode>
                <c:ptCount val="35"/>
                <c:pt idx="0">
                  <c:v>1</c:v>
                </c:pt>
                <c:pt idx="1">
                  <c:v>1.0013154854820405</c:v>
                </c:pt>
                <c:pt idx="2">
                  <c:v>1.0026991699916705</c:v>
                </c:pt>
                <c:pt idx="3">
                  <c:v>1.0041564967788237</c:v>
                </c:pt>
                <c:pt idx="4">
                  <c:v>1.0056932340480802</c:v>
                </c:pt>
                <c:pt idx="5">
                  <c:v>1.0073103648851978</c:v>
                </c:pt>
                <c:pt idx="6">
                  <c:v>1.0089807236728061</c:v>
                </c:pt>
                <c:pt idx="7">
                  <c:v>1.0106172508235782</c:v>
                </c:pt>
                <c:pt idx="8">
                  <c:v>1.0120728054695509</c:v>
                </c:pt>
                <c:pt idx="9">
                  <c:v>1.0131800222640113</c:v>
                </c:pt>
                <c:pt idx="10">
                  <c:v>1.013801519022353</c:v>
                </c:pt>
                <c:pt idx="11">
                  <c:v>1.0138624864118568</c:v>
                </c:pt>
                <c:pt idx="12">
                  <c:v>1.0133574791384092</c:v>
                </c:pt>
                <c:pt idx="13">
                  <c:v>1.0123376555708536</c:v>
                </c:pt>
                <c:pt idx="14">
                  <c:v>1.0108891850800432</c:v>
                </c:pt>
                <c:pt idx="15">
                  <c:v>1.0091117402254686</c:v>
                </c:pt>
                <c:pt idx="16">
                  <c:v>1.0071020591225373</c:v>
                </c:pt>
                <c:pt idx="17">
                  <c:v>1.0059714780160058</c:v>
                </c:pt>
                <c:pt idx="18">
                  <c:v>1.0032362128802863</c:v>
                </c:pt>
                <c:pt idx="19">
                  <c:v>1.000807408205018</c:v>
                </c:pt>
                <c:pt idx="20">
                  <c:v>0.99863239199313281</c:v>
                </c:pt>
                <c:pt idx="21">
                  <c:v>0.9966659831368605</c:v>
                </c:pt>
                <c:pt idx="22">
                  <c:v>0.99487208373578495</c:v>
                </c:pt>
                <c:pt idx="23">
                  <c:v>0.99322224815951865</c:v>
                </c:pt>
                <c:pt idx="24">
                  <c:v>0.99169400345743186</c:v>
                </c:pt>
                <c:pt idx="25">
                  <c:v>0.99026945214919726</c:v>
                </c:pt>
                <c:pt idx="26">
                  <c:v>0.98893420032510104</c:v>
                </c:pt>
                <c:pt idx="27">
                  <c:v>0.98767655386686071</c:v>
                </c:pt>
                <c:pt idx="28">
                  <c:v>0.9864869176281128</c:v>
                </c:pt>
                <c:pt idx="29">
                  <c:v>0.98535734423969568</c:v>
                </c:pt>
                <c:pt idx="30">
                  <c:v>0.98428119259540281</c:v>
                </c:pt>
                <c:pt idx="31">
                  <c:v>0.98325286697716729</c:v>
                </c:pt>
                <c:pt idx="32">
                  <c:v>0.98226761587409217</c:v>
                </c:pt>
                <c:pt idx="33">
                  <c:v>0.98132137536779829</c:v>
                </c:pt>
                <c:pt idx="34">
                  <c:v>0.98041064609571227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9D-454F-BC93-ADF871133702}"/>
            </c:ext>
          </c:extLst>
        </c:ser>
        <c:ser>
          <c:idx val="3"/>
          <c:order val="3"/>
          <c:tx>
            <c:v>Mean = MH∞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70C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A9D-454F-BC93-ADF871133702}"/>
              </c:ext>
            </c:extLst>
          </c:dPt>
          <c:xVal>
            <c:numRef>
              <c:f>CrossDat!$AA$6:$AA$7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xVal>
          <c:yVal>
            <c:numRef>
              <c:f>CrossDat!$AB$6:$AB$7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9D-454F-BC93-ADF871133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689504"/>
        <c:axId val="2027913840"/>
      </c:scatterChart>
      <c:valAx>
        <c:axId val="1297689504"/>
        <c:scaling>
          <c:orientation val="minMax"/>
          <c:max val="0.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Shape Parameter</a:t>
                </a:r>
                <a:r>
                  <a:rPr lang="en-IE" sz="1600" baseline="0"/>
                  <a:t> </a:t>
                </a:r>
                <a:r>
                  <a:rPr lang="el-GR" sz="1600" baseline="0"/>
                  <a:t>η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913840"/>
        <c:crosses val="autoZero"/>
        <c:crossBetween val="midCat"/>
        <c:majorUnit val="0.1"/>
      </c:valAx>
      <c:valAx>
        <c:axId val="20279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Location Relative to 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689504"/>
        <c:crosses val="autoZero"/>
        <c:crossBetween val="midCat"/>
        <c:majorUnit val="2.5000000000000005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Median = ESM∞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CrossDat!$W$10:$W$44</c:f>
              <c:numCache>
                <c:formatCode>General</c:formatCode>
                <c:ptCount val="35"/>
                <c:pt idx="0">
                  <c:v>1</c:v>
                </c:pt>
                <c:pt idx="1">
                  <c:v>1.0033754140665814</c:v>
                </c:pt>
                <c:pt idx="2">
                  <c:v>1.0069258205297056</c:v>
                </c:pt>
                <c:pt idx="3">
                  <c:v>1.0106651883240065</c:v>
                </c:pt>
                <c:pt idx="4">
                  <c:v>1.0146087189843191</c:v>
                </c:pt>
                <c:pt idx="5">
                  <c:v>1.0187672022048069</c:v>
                </c:pt>
                <c:pt idx="6">
                  <c:v>1.0231192739336432</c:v>
                </c:pt>
                <c:pt idx="7">
                  <c:v>1.0275680106915639</c:v>
                </c:pt>
                <c:pt idx="8">
                  <c:v>1.0319260368781014</c:v>
                </c:pt>
                <c:pt idx="9">
                  <c:v>1.0359465760048616</c:v>
                </c:pt>
                <c:pt idx="10">
                  <c:v>1.039375653006759</c:v>
                </c:pt>
                <c:pt idx="11">
                  <c:v>1.041996584687964</c:v>
                </c:pt>
                <c:pt idx="12">
                  <c:v>1.0436544303069866</c:v>
                </c:pt>
                <c:pt idx="13">
                  <c:v>1.0442616712694701</c:v>
                </c:pt>
                <c:pt idx="14">
                  <c:v>1.0437916433806742</c:v>
                </c:pt>
                <c:pt idx="15">
                  <c:v>1.042266182621171</c:v>
                </c:pt>
                <c:pt idx="16">
                  <c:v>1.0397419941363866</c:v>
                </c:pt>
                <c:pt idx="17">
                  <c:v>1.0380246938504769</c:v>
                </c:pt>
                <c:pt idx="18">
                  <c:v>1.0331019129757264</c:v>
                </c:pt>
                <c:pt idx="19">
                  <c:v>1.0278938184650652</c:v>
                </c:pt>
                <c:pt idx="20">
                  <c:v>1.0226025592382224</c:v>
                </c:pt>
                <c:pt idx="21">
                  <c:v>1.0173301752810204</c:v>
                </c:pt>
                <c:pt idx="22">
                  <c:v>1.0121318264743333</c:v>
                </c:pt>
                <c:pt idx="23">
                  <c:v>1.0070381556287002</c:v>
                </c:pt>
                <c:pt idx="24">
                  <c:v>1.002066007473821</c:v>
                </c:pt>
                <c:pt idx="25">
                  <c:v>0.99722406090740023</c:v>
                </c:pt>
                <c:pt idx="26">
                  <c:v>0.99251599467866991</c:v>
                </c:pt>
                <c:pt idx="27">
                  <c:v>0.98794235973306832</c:v>
                </c:pt>
                <c:pt idx="28">
                  <c:v>0.98350173094449711</c:v>
                </c:pt>
                <c:pt idx="29">
                  <c:v>0.97919143746606763</c:v>
                </c:pt>
                <c:pt idx="30">
                  <c:v>0.97500803684255688</c:v>
                </c:pt>
                <c:pt idx="31">
                  <c:v>0.97094762822751379</c:v>
                </c:pt>
                <c:pt idx="32">
                  <c:v>0.96700606186056226</c:v>
                </c:pt>
                <c:pt idx="33">
                  <c:v>0.96317908017441245</c:v>
                </c:pt>
                <c:pt idx="34">
                  <c:v>0.95946241301982271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4B-4BE4-A22B-0F611CF44439}"/>
            </c:ext>
          </c:extLst>
        </c:ser>
        <c:ser>
          <c:idx val="2"/>
          <c:order val="1"/>
          <c:tx>
            <c:v>ESM2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CrossDat!$Y$10:$Y$44</c:f>
              <c:numCache>
                <c:formatCode>General</c:formatCode>
                <c:ptCount val="35"/>
                <c:pt idx="0">
                  <c:v>1</c:v>
                </c:pt>
                <c:pt idx="1">
                  <c:v>1.0018868596925137</c:v>
                </c:pt>
                <c:pt idx="2">
                  <c:v>1.0038715403020984</c:v>
                </c:pt>
                <c:pt idx="3">
                  <c:v>1.005961849913926</c:v>
                </c:pt>
                <c:pt idx="4">
                  <c:v>1.0081661781259434</c:v>
                </c:pt>
                <c:pt idx="5">
                  <c:v>1.0104883669261682</c:v>
                </c:pt>
                <c:pt idx="6">
                  <c:v>1.012904004803282</c:v>
                </c:pt>
                <c:pt idx="7">
                  <c:v>1.0153276094925463</c:v>
                </c:pt>
                <c:pt idx="8">
                  <c:v>1.0176103985153788</c:v>
                </c:pt>
                <c:pt idx="9">
                  <c:v>1.0195768738576629</c:v>
                </c:pt>
                <c:pt idx="10">
                  <c:v>1.0210709940615399</c:v>
                </c:pt>
                <c:pt idx="11">
                  <c:v>1.021986049773236</c:v>
                </c:pt>
                <c:pt idx="12">
                  <c:v>1.0222724276007715</c:v>
                </c:pt>
                <c:pt idx="13">
                  <c:v>1.0219300051815103</c:v>
                </c:pt>
                <c:pt idx="14">
                  <c:v>1.0209941234217295</c:v>
                </c:pt>
                <c:pt idx="15">
                  <c:v>1.0195213677024602</c:v>
                </c:pt>
                <c:pt idx="16">
                  <c:v>1.0175780950205908</c:v>
                </c:pt>
                <c:pt idx="17">
                  <c:v>1.016380072065733</c:v>
                </c:pt>
                <c:pt idx="18">
                  <c:v>1.0132082083648617</c:v>
                </c:pt>
                <c:pt idx="19">
                  <c:v>1.0100923540905555</c:v>
                </c:pt>
                <c:pt idx="20">
                  <c:v>1.0070775566114532</c:v>
                </c:pt>
                <c:pt idx="21">
                  <c:v>1.0041776387858712</c:v>
                </c:pt>
                <c:pt idx="22">
                  <c:v>1.0013942897121189</c:v>
                </c:pt>
                <c:pt idx="23">
                  <c:v>0.99872417562415883</c:v>
                </c:pt>
                <c:pt idx="24">
                  <c:v>0.99616191989780545</c:v>
                </c:pt>
                <c:pt idx="25">
                  <c:v>0.99370144379751291</c:v>
                </c:pt>
                <c:pt idx="26">
                  <c:v>0.99133659142879438</c:v>
                </c:pt>
                <c:pt idx="27">
                  <c:v>0.98906142067089931</c:v>
                </c:pt>
                <c:pt idx="28">
                  <c:v>0.98687033113601197</c:v>
                </c:pt>
                <c:pt idx="29">
                  <c:v>0.98475811055218243</c:v>
                </c:pt>
                <c:pt idx="30">
                  <c:v>0.98271994009021824</c:v>
                </c:pt>
                <c:pt idx="31">
                  <c:v>0.9807513794699898</c:v>
                </c:pt>
                <c:pt idx="32">
                  <c:v>0.97884834278382593</c:v>
                </c:pt>
                <c:pt idx="33">
                  <c:v>0.97700707082661853</c:v>
                </c:pt>
                <c:pt idx="34">
                  <c:v>0.97522410297532081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4B-4BE4-A22B-0F611CF44439}"/>
            </c:ext>
          </c:extLst>
        </c:ser>
        <c:ser>
          <c:idx val="1"/>
          <c:order val="2"/>
          <c:tx>
            <c:v>ESM3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CrossDat!$M$10:$M$44</c:f>
              <c:numCache>
                <c:formatCode>General</c:formatCode>
                <c:ptCount val="35"/>
                <c:pt idx="0">
                  <c:v>0</c:v>
                </c:pt>
                <c:pt idx="1">
                  <c:v>4.3596100000630809E-28</c:v>
                </c:pt>
                <c:pt idx="2">
                  <c:v>3.4424771084700948E-14</c:v>
                </c:pt>
                <c:pt idx="3">
                  <c:v>1.4768811085609925E-9</c:v>
                </c:pt>
                <c:pt idx="4">
                  <c:v>3.0590241407808408E-7</c:v>
                </c:pt>
                <c:pt idx="5">
                  <c:v>7.5046142338890072E-6</c:v>
                </c:pt>
                <c:pt idx="6">
                  <c:v>6.3364720908016604E-5</c:v>
                </c:pt>
                <c:pt idx="7">
                  <c:v>2.9088973054913471E-4</c:v>
                </c:pt>
                <c:pt idx="8">
                  <c:v>9.1271425322173375E-4</c:v>
                </c:pt>
                <c:pt idx="9">
                  <c:v>2.223015741979608E-3</c:v>
                </c:pt>
                <c:pt idx="10">
                  <c:v>4.5370730000599798E-3</c:v>
                </c:pt>
                <c:pt idx="11">
                  <c:v>8.14730958294284E-3</c:v>
                </c:pt>
                <c:pt idx="12">
                  <c:v>1.3298251380737416E-2</c:v>
                </c:pt>
                <c:pt idx="13">
                  <c:v>2.0179288174142891E-2</c:v>
                </c:pt>
                <c:pt idx="14">
                  <c:v>2.8929018181021476E-2</c:v>
                </c:pt>
                <c:pt idx="15">
                  <c:v>3.9645127125729769E-2</c:v>
                </c:pt>
                <c:pt idx="16">
                  <c:v>5.2395696491255951E-2</c:v>
                </c:pt>
                <c:pt idx="17">
                  <c:v>0.06</c:v>
                </c:pt>
                <c:pt idx="18">
                  <c:v>0.08</c:v>
                </c:pt>
                <c:pt idx="19">
                  <c:v>0.1</c:v>
                </c:pt>
                <c:pt idx="20">
                  <c:v>0.12000000000000001</c:v>
                </c:pt>
                <c:pt idx="21">
                  <c:v>0.14000000000000001</c:v>
                </c:pt>
                <c:pt idx="22">
                  <c:v>0.16</c:v>
                </c:pt>
                <c:pt idx="23">
                  <c:v>0.18</c:v>
                </c:pt>
                <c:pt idx="24">
                  <c:v>0.19999999999999998</c:v>
                </c:pt>
                <c:pt idx="25">
                  <c:v>0.21999999999999997</c:v>
                </c:pt>
                <c:pt idx="26">
                  <c:v>0.23999999999999996</c:v>
                </c:pt>
                <c:pt idx="27">
                  <c:v>0.25999999999999995</c:v>
                </c:pt>
                <c:pt idx="28">
                  <c:v>0.27999999999999997</c:v>
                </c:pt>
                <c:pt idx="29">
                  <c:v>0.3</c:v>
                </c:pt>
                <c:pt idx="30">
                  <c:v>0.32</c:v>
                </c:pt>
                <c:pt idx="31">
                  <c:v>0.34</c:v>
                </c:pt>
                <c:pt idx="32">
                  <c:v>0.36000000000000004</c:v>
                </c:pt>
                <c:pt idx="33">
                  <c:v>0.38000000000000006</c:v>
                </c:pt>
                <c:pt idx="34">
                  <c:v>0.40000000000000008</c:v>
                </c:pt>
              </c:numCache>
            </c:numRef>
          </c:xVal>
          <c:yVal>
            <c:numRef>
              <c:f>CrossDat!$X$10:$X$44</c:f>
              <c:numCache>
                <c:formatCode>General</c:formatCode>
                <c:ptCount val="35"/>
                <c:pt idx="0">
                  <c:v>1</c:v>
                </c:pt>
                <c:pt idx="1">
                  <c:v>1.0024296425916932</c:v>
                </c:pt>
                <c:pt idx="2">
                  <c:v>1.0049852457237674</c:v>
                </c:pt>
                <c:pt idx="3">
                  <c:v>1.0076768639486362</c:v>
                </c:pt>
                <c:pt idx="4">
                  <c:v>1.0105153679069343</c:v>
                </c:pt>
                <c:pt idx="5">
                  <c:v>1.0135070509854427</c:v>
                </c:pt>
                <c:pt idx="6">
                  <c:v>1.0166279365571982</c:v>
                </c:pt>
                <c:pt idx="7">
                  <c:v>1.0197858222306833</c:v>
                </c:pt>
                <c:pt idx="8">
                  <c:v>1.0228122173323619</c:v>
                </c:pt>
                <c:pt idx="9">
                  <c:v>1.0254973150823876</c:v>
                </c:pt>
                <c:pt idx="10">
                  <c:v>1.0276408316353858</c:v>
                </c:pt>
                <c:pt idx="11">
                  <c:v>1.0290904217406616</c:v>
                </c:pt>
                <c:pt idx="12">
                  <c:v>1.0297576816660394</c:v>
                </c:pt>
                <c:pt idx="13">
                  <c:v>1.0296156422435139</c:v>
                </c:pt>
                <c:pt idx="14">
                  <c:v>1.0286861468864652</c:v>
                </c:pt>
                <c:pt idx="15">
                  <c:v>1.027024301330149</c:v>
                </c:pt>
                <c:pt idx="16">
                  <c:v>1.0247042841179577</c:v>
                </c:pt>
                <c:pt idx="17">
                  <c:v>1.0232349893711272</c:v>
                </c:pt>
                <c:pt idx="18">
                  <c:v>1.0192572765323074</c:v>
                </c:pt>
                <c:pt idx="19">
                  <c:v>1.01526681457238</c:v>
                </c:pt>
                <c:pt idx="20">
                  <c:v>1.011352582661341</c:v>
                </c:pt>
                <c:pt idx="21">
                  <c:v>1.0075507912721242</c:v>
                </c:pt>
                <c:pt idx="22">
                  <c:v>1.0038753126058941</c:v>
                </c:pt>
                <c:pt idx="23">
                  <c:v>1.0003296344355859</c:v>
                </c:pt>
                <c:pt idx="24">
                  <c:v>0.99691218323252739</c:v>
                </c:pt>
                <c:pt idx="25">
                  <c:v>0.99361890138967635</c:v>
                </c:pt>
                <c:pt idx="26">
                  <c:v>0.99044456753708787</c:v>
                </c:pt>
                <c:pt idx="27">
                  <c:v>0.98738349782216051</c:v>
                </c:pt>
                <c:pt idx="28">
                  <c:v>0.98442992518114103</c:v>
                </c:pt>
                <c:pt idx="29">
                  <c:v>0.98157820413061647</c:v>
                </c:pt>
                <c:pt idx="30">
                  <c:v>0.97882291817705047</c:v>
                </c:pt>
                <c:pt idx="31">
                  <c:v>0.97615893180239421</c:v>
                </c:pt>
                <c:pt idx="32">
                  <c:v>0.97358141060344638</c:v>
                </c:pt>
                <c:pt idx="33">
                  <c:v>0.97108582317416303</c:v>
                </c:pt>
                <c:pt idx="34">
                  <c:v>0.96866793270908835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4B-4BE4-A22B-0F611CF44439}"/>
            </c:ext>
          </c:extLst>
        </c:ser>
        <c:ser>
          <c:idx val="3"/>
          <c:order val="3"/>
          <c:tx>
            <c:v>Mean = ESM1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CrossDat!$AA$6:$AA$7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xVal>
          <c:yVal>
            <c:numRef>
              <c:f>CrossDat!$AB$6:$AB$7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4B-4BE4-A22B-0F611CF44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2302208"/>
        <c:axId val="1652302688"/>
      </c:scatterChart>
      <c:valAx>
        <c:axId val="1652302208"/>
        <c:scaling>
          <c:orientation val="minMax"/>
          <c:max val="0.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Shape Parameter </a:t>
                </a:r>
                <a:r>
                  <a:rPr lang="el-GR" sz="1600"/>
                  <a:t>η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302688"/>
        <c:crosses val="autoZero"/>
        <c:crossBetween val="midCat"/>
        <c:majorUnit val="0.1"/>
      </c:valAx>
      <c:valAx>
        <c:axId val="165230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Location Relative to 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302208"/>
        <c:crosses val="autoZero"/>
        <c:crossBetween val="midCat"/>
        <c:majorUnit val="2.5000000000000005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Born 1965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'AG2024'!$A$10:$A$130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'AG2024'!$I$10:$I$130</c:f>
              <c:numCache>
                <c:formatCode>General</c:formatCode>
                <c:ptCount val="121"/>
                <c:pt idx="58">
                  <c:v>0.11388026892710733</c:v>
                </c:pt>
                <c:pt idx="59">
                  <c:v>7.3985902059613876E-2</c:v>
                </c:pt>
                <c:pt idx="60">
                  <c:v>7.5419463699286163E-2</c:v>
                </c:pt>
                <c:pt idx="61">
                  <c:v>5.6423358827922952E-2</c:v>
                </c:pt>
                <c:pt idx="62">
                  <c:v>7.7648933483368154E-2</c:v>
                </c:pt>
                <c:pt idx="63">
                  <c:v>6.4738075603891457E-2</c:v>
                </c:pt>
                <c:pt idx="64">
                  <c:v>4.5620385963142641E-2</c:v>
                </c:pt>
                <c:pt idx="65">
                  <c:v>6.3766560822440005E-2</c:v>
                </c:pt>
                <c:pt idx="66">
                  <c:v>6.1928065423020477E-2</c:v>
                </c:pt>
                <c:pt idx="67">
                  <c:v>5.1340193819591172E-2</c:v>
                </c:pt>
                <c:pt idx="68">
                  <c:v>8.1234420840699775E-2</c:v>
                </c:pt>
                <c:pt idx="69">
                  <c:v>6.5658631381951341E-2</c:v>
                </c:pt>
                <c:pt idx="70">
                  <c:v>6.5245586584389115E-2</c:v>
                </c:pt>
                <c:pt idx="71">
                  <c:v>7.618138708595755E-2</c:v>
                </c:pt>
                <c:pt idx="72">
                  <c:v>6.6496816642814011E-2</c:v>
                </c:pt>
                <c:pt idx="73">
                  <c:v>8.3558416350864403E-2</c:v>
                </c:pt>
                <c:pt idx="74">
                  <c:v>7.6330031745440591E-2</c:v>
                </c:pt>
                <c:pt idx="75">
                  <c:v>9.5451808200746432E-2</c:v>
                </c:pt>
                <c:pt idx="76">
                  <c:v>9.7780989606688629E-2</c:v>
                </c:pt>
                <c:pt idx="77">
                  <c:v>0.10058532956405357</c:v>
                </c:pt>
                <c:pt idx="78">
                  <c:v>0.11405489243681964</c:v>
                </c:pt>
                <c:pt idx="79">
                  <c:v>0.11028728579895565</c:v>
                </c:pt>
                <c:pt idx="80">
                  <c:v>0.1451312956575436</c:v>
                </c:pt>
                <c:pt idx="81">
                  <c:v>0.13525951836364575</c:v>
                </c:pt>
                <c:pt idx="82">
                  <c:v>0.14326243390092966</c:v>
                </c:pt>
                <c:pt idx="83">
                  <c:v>0.14567251507760692</c:v>
                </c:pt>
                <c:pt idx="84">
                  <c:v>0.13907254679521275</c:v>
                </c:pt>
                <c:pt idx="85">
                  <c:v>0.16342000517557906</c:v>
                </c:pt>
                <c:pt idx="86">
                  <c:v>0.16364101836213282</c:v>
                </c:pt>
                <c:pt idx="87">
                  <c:v>0.16667383217572762</c:v>
                </c:pt>
                <c:pt idx="88">
                  <c:v>0.14958343551261691</c:v>
                </c:pt>
                <c:pt idx="89">
                  <c:v>0.16230305928481101</c:v>
                </c:pt>
                <c:pt idx="90">
                  <c:v>0.17351160097178289</c:v>
                </c:pt>
                <c:pt idx="91">
                  <c:v>0.10763040571665074</c:v>
                </c:pt>
                <c:pt idx="92">
                  <c:v>0.14002329820660803</c:v>
                </c:pt>
                <c:pt idx="93">
                  <c:v>0.13588706742233395</c:v>
                </c:pt>
                <c:pt idx="94">
                  <c:v>0.13135154054351114</c:v>
                </c:pt>
                <c:pt idx="95">
                  <c:v>0.12642703949546294</c:v>
                </c:pt>
                <c:pt idx="96">
                  <c:v>0.12113446440557138</c:v>
                </c:pt>
                <c:pt idx="97">
                  <c:v>0.11550627646788306</c:v>
                </c:pt>
                <c:pt idx="98">
                  <c:v>0.10958679194623727</c:v>
                </c:pt>
                <c:pt idx="99">
                  <c:v>0.10343162089467338</c:v>
                </c:pt>
                <c:pt idx="100">
                  <c:v>9.710616746566729E-2</c:v>
                </c:pt>
                <c:pt idx="101">
                  <c:v>9.0683225254116331E-2</c:v>
                </c:pt>
                <c:pt idx="102">
                  <c:v>8.4239832097941933E-2</c:v>
                </c:pt>
                <c:pt idx="103">
                  <c:v>7.7853667267082677E-2</c:v>
                </c:pt>
                <c:pt idx="104">
                  <c:v>7.1599352279585984E-2</c:v>
                </c:pt>
                <c:pt idx="105">
                  <c:v>6.5545034811301764E-2</c:v>
                </c:pt>
                <c:pt idx="106">
                  <c:v>5.9749588193528359E-2</c:v>
                </c:pt>
                <c:pt idx="107">
                  <c:v>5.4260658409584953E-2</c:v>
                </c:pt>
                <c:pt idx="108">
                  <c:v>4.9113660652805299E-2</c:v>
                </c:pt>
                <c:pt idx="109">
                  <c:v>4.4331697410531175E-2</c:v>
                </c:pt>
                <c:pt idx="110">
                  <c:v>3.9926264634011589E-2</c:v>
                </c:pt>
                <c:pt idx="111">
                  <c:v>3.5898546669492361E-2</c:v>
                </c:pt>
                <c:pt idx="112">
                  <c:v>3.2241077276529286E-2</c:v>
                </c:pt>
                <c:pt idx="113">
                  <c:v>2.8939556654149323E-2</c:v>
                </c:pt>
                <c:pt idx="114">
                  <c:v>2.5974651030240218E-2</c:v>
                </c:pt>
                <c:pt idx="115">
                  <c:v>2.3323649211141127E-2</c:v>
                </c:pt>
                <c:pt idx="116">
                  <c:v>2.0961898885122187E-2</c:v>
                </c:pt>
                <c:pt idx="117">
                  <c:v>1.8863987388122581E-2</c:v>
                </c:pt>
                <c:pt idx="118">
                  <c:v>1.7004663672131205E-2</c:v>
                </c:pt>
                <c:pt idx="119">
                  <c:v>1.5359519806301968E-2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41-49A4-BA45-45D99E1CC6A0}"/>
            </c:ext>
          </c:extLst>
        </c:ser>
        <c:ser>
          <c:idx val="1"/>
          <c:order val="1"/>
          <c:tx>
            <c:v>Born 1885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'AG2024'!$A$10:$A$130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'AG2024'!$J$10:$J$130</c:f>
              <c:numCache>
                <c:formatCode>General</c:formatCode>
                <c:ptCount val="121"/>
                <c:pt idx="38">
                  <c:v>6.7147494451580844E-2</c:v>
                </c:pt>
                <c:pt idx="39">
                  <c:v>8.8285268785803367E-2</c:v>
                </c:pt>
                <c:pt idx="40">
                  <c:v>9.6420457312137428E-2</c:v>
                </c:pt>
                <c:pt idx="41">
                  <c:v>0.11807752110649219</c:v>
                </c:pt>
                <c:pt idx="42">
                  <c:v>8.8609391584564004E-2</c:v>
                </c:pt>
                <c:pt idx="43">
                  <c:v>5.0150091573540813E-2</c:v>
                </c:pt>
                <c:pt idx="44">
                  <c:v>0.14604384825588893</c:v>
                </c:pt>
                <c:pt idx="45">
                  <c:v>5.8728121573422193E-2</c:v>
                </c:pt>
                <c:pt idx="46">
                  <c:v>0.164805174477304</c:v>
                </c:pt>
                <c:pt idx="47">
                  <c:v>7.5703561863923491E-2</c:v>
                </c:pt>
                <c:pt idx="48">
                  <c:v>6.1246682429803447E-2</c:v>
                </c:pt>
                <c:pt idx="49">
                  <c:v>7.6817902220772449E-2</c:v>
                </c:pt>
                <c:pt idx="50">
                  <c:v>8.30545224957734E-2</c:v>
                </c:pt>
                <c:pt idx="51">
                  <c:v>0.11625459625113257</c:v>
                </c:pt>
                <c:pt idx="52">
                  <c:v>6.6819053468937559E-2</c:v>
                </c:pt>
                <c:pt idx="53">
                  <c:v>6.697494664157988E-2</c:v>
                </c:pt>
                <c:pt idx="54">
                  <c:v>6.7595729018417386E-2</c:v>
                </c:pt>
                <c:pt idx="55">
                  <c:v>8.5066085537292072E-2</c:v>
                </c:pt>
                <c:pt idx="56">
                  <c:v>5.9799414150319294E-2</c:v>
                </c:pt>
                <c:pt idx="57">
                  <c:v>7.1676312841688822E-2</c:v>
                </c:pt>
                <c:pt idx="58">
                  <c:v>7.1332798335537975E-2</c:v>
                </c:pt>
                <c:pt idx="59">
                  <c:v>6.4037964696571942E-2</c:v>
                </c:pt>
                <c:pt idx="60">
                  <c:v>8.8003303609348188E-2</c:v>
                </c:pt>
                <c:pt idx="61">
                  <c:v>6.1593709561820954E-2</c:v>
                </c:pt>
                <c:pt idx="62">
                  <c:v>5.3658006888587892E-2</c:v>
                </c:pt>
                <c:pt idx="63">
                  <c:v>3.8185637221498703E-2</c:v>
                </c:pt>
                <c:pt idx="64">
                  <c:v>4.3671348154628691E-2</c:v>
                </c:pt>
                <c:pt idx="65">
                  <c:v>5.3608759802253346E-2</c:v>
                </c:pt>
                <c:pt idx="66">
                  <c:v>6.0070030210548291E-2</c:v>
                </c:pt>
                <c:pt idx="67">
                  <c:v>3.5991368611485365E-2</c:v>
                </c:pt>
                <c:pt idx="68">
                  <c:v>7.8834830075302009E-2</c:v>
                </c:pt>
                <c:pt idx="69">
                  <c:v>5.6283548656734142E-2</c:v>
                </c:pt>
                <c:pt idx="70">
                  <c:v>6.0657456640781121E-2</c:v>
                </c:pt>
                <c:pt idx="71">
                  <c:v>6.9829149721679765E-2</c:v>
                </c:pt>
                <c:pt idx="72">
                  <c:v>6.0196163656782591E-2</c:v>
                </c:pt>
                <c:pt idx="73">
                  <c:v>7.7383026022639065E-2</c:v>
                </c:pt>
                <c:pt idx="74">
                  <c:v>7.0778509431864228E-2</c:v>
                </c:pt>
                <c:pt idx="75">
                  <c:v>9.3377440079651541E-2</c:v>
                </c:pt>
                <c:pt idx="76">
                  <c:v>9.8692996649179285E-2</c:v>
                </c:pt>
                <c:pt idx="77">
                  <c:v>0.10058049715095278</c:v>
                </c:pt>
                <c:pt idx="78">
                  <c:v>0.12037355447942881</c:v>
                </c:pt>
                <c:pt idx="79">
                  <c:v>0.11732943594680945</c:v>
                </c:pt>
                <c:pt idx="80">
                  <c:v>0.15736621772237591</c:v>
                </c:pt>
                <c:pt idx="81">
                  <c:v>0.14826859633974457</c:v>
                </c:pt>
                <c:pt idx="82">
                  <c:v>0.15458542835234412</c:v>
                </c:pt>
                <c:pt idx="83">
                  <c:v>0.16035245481081192</c:v>
                </c:pt>
                <c:pt idx="84">
                  <c:v>0.15229258989379743</c:v>
                </c:pt>
                <c:pt idx="85">
                  <c:v>0.1842651913523437</c:v>
                </c:pt>
                <c:pt idx="86">
                  <c:v>0.18131732961876759</c:v>
                </c:pt>
                <c:pt idx="87">
                  <c:v>0.1886607491878429</c:v>
                </c:pt>
                <c:pt idx="88">
                  <c:v>0.16850861755729879</c:v>
                </c:pt>
                <c:pt idx="89">
                  <c:v>0.18221700829133675</c:v>
                </c:pt>
                <c:pt idx="90">
                  <c:v>0.19392342190305292</c:v>
                </c:pt>
                <c:pt idx="91">
                  <c:v>0.10897575329043864</c:v>
                </c:pt>
                <c:pt idx="92">
                  <c:v>0.15222434947075322</c:v>
                </c:pt>
                <c:pt idx="93">
                  <c:v>0.14737177015734823</c:v>
                </c:pt>
                <c:pt idx="94">
                  <c:v>0.14216201456010932</c:v>
                </c:pt>
                <c:pt idx="95">
                  <c:v>0.1366031653395833</c:v>
                </c:pt>
                <c:pt idx="96">
                  <c:v>0.13071402469849233</c:v>
                </c:pt>
                <c:pt idx="97">
                  <c:v>0.1245250735054422</c:v>
                </c:pt>
                <c:pt idx="98">
                  <c:v>0.11807874125435289</c:v>
                </c:pt>
                <c:pt idx="99">
                  <c:v>0.11142882196073667</c:v>
                </c:pt>
                <c:pt idx="100">
                  <c:v>0.10463895477670285</c:v>
                </c:pt>
                <c:pt idx="101">
                  <c:v>9.7780204723783848E-2</c:v>
                </c:pt>
                <c:pt idx="102">
                  <c:v>9.0927909514265742E-2</c:v>
                </c:pt>
                <c:pt idx="103">
                  <c:v>8.4158076120466399E-2</c:v>
                </c:pt>
                <c:pt idx="104">
                  <c:v>7.7543687968004316E-2</c:v>
                </c:pt>
                <c:pt idx="105">
                  <c:v>7.1151300752924182E-2</c:v>
                </c:pt>
                <c:pt idx="106">
                  <c:v>6.5038257071192027E-2</c:v>
                </c:pt>
                <c:pt idx="107">
                  <c:v>5.9250749098628222E-2</c:v>
                </c:pt>
                <c:pt idx="108">
                  <c:v>5.3822828882274236E-2</c:v>
                </c:pt>
                <c:pt idx="109">
                  <c:v>4.8776336328117315E-2</c:v>
                </c:pt>
                <c:pt idx="110">
                  <c:v>4.4121610438719948E-2</c:v>
                </c:pt>
                <c:pt idx="111">
                  <c:v>3.9858784363577211E-2</c:v>
                </c:pt>
                <c:pt idx="112">
                  <c:v>3.5979442200467567E-2</c:v>
                </c:pt>
                <c:pt idx="113">
                  <c:v>3.2468428532779668E-2</c:v>
                </c:pt>
                <c:pt idx="114">
                  <c:v>2.9305638488436807E-2</c:v>
                </c:pt>
                <c:pt idx="115">
                  <c:v>2.6467663881063704E-2</c:v>
                </c:pt>
                <c:pt idx="116">
                  <c:v>2.3929219176239063E-2</c:v>
                </c:pt>
                <c:pt idx="117">
                  <c:v>2.1664312663333261E-2</c:v>
                </c:pt>
                <c:pt idx="118">
                  <c:v>1.9647159971695211E-2</c:v>
                </c:pt>
                <c:pt idx="119">
                  <c:v>1.7852858429855532E-2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41-49A4-BA45-45D99E1CC6A0}"/>
            </c:ext>
          </c:extLst>
        </c:ser>
        <c:ser>
          <c:idx val="2"/>
          <c:order val="2"/>
          <c:tx>
            <c:v>Born 2005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'AG2024'!$A$10:$A$130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'AG2024'!$K$10:$K$130</c:f>
              <c:numCache>
                <c:formatCode>General</c:formatCode>
                <c:ptCount val="121"/>
                <c:pt idx="18">
                  <c:v>-1.9472576016678185E-2</c:v>
                </c:pt>
                <c:pt idx="19">
                  <c:v>9.4813406388993549E-2</c:v>
                </c:pt>
                <c:pt idx="20">
                  <c:v>-3.1344621903845925E-2</c:v>
                </c:pt>
                <c:pt idx="21">
                  <c:v>1.3382790327109763E-2</c:v>
                </c:pt>
                <c:pt idx="22">
                  <c:v>3.5095033370473108E-2</c:v>
                </c:pt>
                <c:pt idx="23">
                  <c:v>-2.4366975832385215E-2</c:v>
                </c:pt>
                <c:pt idx="24">
                  <c:v>-5.3637469876621199E-2</c:v>
                </c:pt>
                <c:pt idx="25">
                  <c:v>0.10151765629019668</c:v>
                </c:pt>
                <c:pt idx="26">
                  <c:v>2.6439152933342213E-2</c:v>
                </c:pt>
                <c:pt idx="27">
                  <c:v>8.5269358326242745E-2</c:v>
                </c:pt>
                <c:pt idx="28">
                  <c:v>9.554132963953621E-2</c:v>
                </c:pt>
                <c:pt idx="29">
                  <c:v>6.7861469081951564E-2</c:v>
                </c:pt>
                <c:pt idx="30">
                  <c:v>2.7578697063320817E-2</c:v>
                </c:pt>
                <c:pt idx="31">
                  <c:v>2.6681934738143905E-2</c:v>
                </c:pt>
                <c:pt idx="32">
                  <c:v>1.668468999547161E-2</c:v>
                </c:pt>
                <c:pt idx="33">
                  <c:v>0.1154690692742045</c:v>
                </c:pt>
                <c:pt idx="34">
                  <c:v>0.12758308684740804</c:v>
                </c:pt>
                <c:pt idx="35">
                  <c:v>3.9739908226642848E-2</c:v>
                </c:pt>
                <c:pt idx="36">
                  <c:v>7.2931428326747594E-2</c:v>
                </c:pt>
                <c:pt idx="37">
                  <c:v>0.11989666733648706</c:v>
                </c:pt>
                <c:pt idx="38">
                  <c:v>6.2369544548203835E-2</c:v>
                </c:pt>
                <c:pt idx="39">
                  <c:v>9.3755198704736184E-2</c:v>
                </c:pt>
                <c:pt idx="40">
                  <c:v>8.5864941920541601E-2</c:v>
                </c:pt>
                <c:pt idx="41">
                  <c:v>0.13546225528390785</c:v>
                </c:pt>
                <c:pt idx="42">
                  <c:v>8.69761672943727E-2</c:v>
                </c:pt>
                <c:pt idx="43">
                  <c:v>4.2964788855339928E-2</c:v>
                </c:pt>
                <c:pt idx="44">
                  <c:v>0.15883987834441518</c:v>
                </c:pt>
                <c:pt idx="45">
                  <c:v>5.9282290634039114E-2</c:v>
                </c:pt>
                <c:pt idx="46">
                  <c:v>0.17582767210637026</c:v>
                </c:pt>
                <c:pt idx="47">
                  <c:v>7.3801381383460637E-2</c:v>
                </c:pt>
                <c:pt idx="48">
                  <c:v>5.6941023179442309E-2</c:v>
                </c:pt>
                <c:pt idx="49">
                  <c:v>7.9602504848954911E-2</c:v>
                </c:pt>
                <c:pt idx="50">
                  <c:v>8.8859432966635885E-2</c:v>
                </c:pt>
                <c:pt idx="51">
                  <c:v>0.12652471224819287</c:v>
                </c:pt>
                <c:pt idx="52">
                  <c:v>6.0895655913956619E-2</c:v>
                </c:pt>
                <c:pt idx="53">
                  <c:v>7.3795816507544146E-2</c:v>
                </c:pt>
                <c:pt idx="54">
                  <c:v>6.7353591873206553E-2</c:v>
                </c:pt>
                <c:pt idx="55">
                  <c:v>9.2212623949937803E-2</c:v>
                </c:pt>
                <c:pt idx="56">
                  <c:v>5.6779938664859746E-2</c:v>
                </c:pt>
                <c:pt idx="57">
                  <c:v>7.1369463649739562E-2</c:v>
                </c:pt>
                <c:pt idx="58">
                  <c:v>6.4677474267842053E-2</c:v>
                </c:pt>
                <c:pt idx="59">
                  <c:v>6.5746158414628456E-2</c:v>
                </c:pt>
                <c:pt idx="60">
                  <c:v>8.4772620253709477E-2</c:v>
                </c:pt>
                <c:pt idx="61">
                  <c:v>6.0376627759982891E-2</c:v>
                </c:pt>
                <c:pt idx="62">
                  <c:v>4.514802605285826E-2</c:v>
                </c:pt>
                <c:pt idx="63">
                  <c:v>2.8126173478053958E-2</c:v>
                </c:pt>
                <c:pt idx="64">
                  <c:v>3.1890633530512885E-2</c:v>
                </c:pt>
                <c:pt idx="65">
                  <c:v>4.5067458958540446E-2</c:v>
                </c:pt>
                <c:pt idx="66">
                  <c:v>5.380410327526975E-2</c:v>
                </c:pt>
                <c:pt idx="67">
                  <c:v>2.2381686823535484E-2</c:v>
                </c:pt>
                <c:pt idx="68">
                  <c:v>7.2608397540097652E-2</c:v>
                </c:pt>
                <c:pt idx="69">
                  <c:v>4.5929931477030922E-2</c:v>
                </c:pt>
                <c:pt idx="70">
                  <c:v>5.2363737186379156E-2</c:v>
                </c:pt>
                <c:pt idx="71">
                  <c:v>6.2909922658394082E-2</c:v>
                </c:pt>
                <c:pt idx="72">
                  <c:v>5.3372651849259718E-2</c:v>
                </c:pt>
                <c:pt idx="73">
                  <c:v>7.1226822098632528E-2</c:v>
                </c:pt>
                <c:pt idx="74">
                  <c:v>6.5298940460659038E-2</c:v>
                </c:pt>
                <c:pt idx="75">
                  <c:v>9.1300680626558106E-2</c:v>
                </c:pt>
                <c:pt idx="76">
                  <c:v>9.9519001575673741E-2</c:v>
                </c:pt>
                <c:pt idx="77">
                  <c:v>0.10112393911773394</c:v>
                </c:pt>
                <c:pt idx="78">
                  <c:v>0.12679939000498952</c:v>
                </c:pt>
                <c:pt idx="79">
                  <c:v>0.12489737738580899</c:v>
                </c:pt>
                <c:pt idx="80">
                  <c:v>0.16972809889757254</c:v>
                </c:pt>
                <c:pt idx="81">
                  <c:v>0.16170307780163837</c:v>
                </c:pt>
                <c:pt idx="82">
                  <c:v>0.16596047029283248</c:v>
                </c:pt>
                <c:pt idx="83">
                  <c:v>0.17522733082220293</c:v>
                </c:pt>
                <c:pt idx="84">
                  <c:v>0.16570844376004645</c:v>
                </c:pt>
                <c:pt idx="85">
                  <c:v>0.20522582172045029</c:v>
                </c:pt>
                <c:pt idx="86">
                  <c:v>0.19914361507099768</c:v>
                </c:pt>
                <c:pt idx="87">
                  <c:v>0.21090898123846691</c:v>
                </c:pt>
                <c:pt idx="88">
                  <c:v>0.18764696407542053</c:v>
                </c:pt>
                <c:pt idx="89">
                  <c:v>0.20236507837283241</c:v>
                </c:pt>
                <c:pt idx="90">
                  <c:v>0.21415274608524429</c:v>
                </c:pt>
                <c:pt idx="91">
                  <c:v>0.1105925663874107</c:v>
                </c:pt>
                <c:pt idx="92">
                  <c:v>0.16449039519203368</c:v>
                </c:pt>
                <c:pt idx="93">
                  <c:v>0.15893051959689358</c:v>
                </c:pt>
                <c:pt idx="94">
                  <c:v>0.15305425495256739</c:v>
                </c:pt>
                <c:pt idx="95">
                  <c:v>0.1468674093463917</c:v>
                </c:pt>
                <c:pt idx="96">
                  <c:v>0.14038664278772742</c:v>
                </c:pt>
                <c:pt idx="97">
                  <c:v>0.13364041443451133</c:v>
                </c:pt>
                <c:pt idx="98">
                  <c:v>0.12666924071745994</c:v>
                </c:pt>
                <c:pt idx="99">
                  <c:v>0.11952509994646571</c:v>
                </c:pt>
                <c:pt idx="100">
                  <c:v>0.1122699027748067</c:v>
                </c:pt>
                <c:pt idx="101">
                  <c:v>0.10497306452036786</c:v>
                </c:pt>
                <c:pt idx="102">
                  <c:v>9.7708345787930681E-2</c:v>
                </c:pt>
                <c:pt idx="103">
                  <c:v>9.0550245271809812E-2</c:v>
                </c:pt>
                <c:pt idx="104">
                  <c:v>8.3570305500158218E-2</c:v>
                </c:pt>
                <c:pt idx="105">
                  <c:v>7.6833709068155273E-2</c:v>
                </c:pt>
                <c:pt idx="106">
                  <c:v>7.0396494839157331E-2</c:v>
                </c:pt>
                <c:pt idx="107">
                  <c:v>6.4303622529993984E-2</c:v>
                </c:pt>
                <c:pt idx="108">
                  <c:v>5.8587984471464162E-2</c:v>
                </c:pt>
                <c:pt idx="109">
                  <c:v>5.3270334048495446E-2</c:v>
                </c:pt>
                <c:pt idx="110">
                  <c:v>4.8359996059280159E-2</c:v>
                </c:pt>
                <c:pt idx="111">
                  <c:v>4.3856159514614336E-2</c:v>
                </c:pt>
                <c:pt idx="112">
                  <c:v>3.9749530995246259E-2</c:v>
                </c:pt>
                <c:pt idx="113">
                  <c:v>3.6024139869776192E-2</c:v>
                </c:pt>
                <c:pt idx="114">
                  <c:v>3.2659123527193142E-2</c:v>
                </c:pt>
                <c:pt idx="115">
                  <c:v>2.9630368533075584E-2</c:v>
                </c:pt>
                <c:pt idx="116">
                  <c:v>2.691193173564194E-2</c:v>
                </c:pt>
                <c:pt idx="117">
                  <c:v>2.4477206901290589E-2</c:v>
                </c:pt>
                <c:pt idx="118">
                  <c:v>2.2299834134396776E-2</c:v>
                </c:pt>
                <c:pt idx="119">
                  <c:v>2.035437062625596E-2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41-49A4-BA45-45D99E1CC6A0}"/>
            </c:ext>
          </c:extLst>
        </c:ser>
        <c:ser>
          <c:idx val="3"/>
          <c:order val="3"/>
          <c:tx>
            <c:v>Born 2025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'AG2024'!$A$10:$A$130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'AG2024'!$L$10:$L$130</c:f>
              <c:numCache>
                <c:formatCode>General</c:formatCode>
                <c:ptCount val="121"/>
                <c:pt idx="1">
                  <c:v>-2.5340322555844481</c:v>
                </c:pt>
                <c:pt idx="2">
                  <c:v>-0.71267716773392464</c:v>
                </c:pt>
                <c:pt idx="3">
                  <c:v>-0.29213267311846641</c:v>
                </c:pt>
                <c:pt idx="4">
                  <c:v>-8.5580046724382686E-2</c:v>
                </c:pt>
                <c:pt idx="5">
                  <c:v>-0.34471912230710272</c:v>
                </c:pt>
                <c:pt idx="6">
                  <c:v>5.7115926878648481E-3</c:v>
                </c:pt>
                <c:pt idx="7">
                  <c:v>-0.18788148502791549</c:v>
                </c:pt>
                <c:pt idx="8">
                  <c:v>1.2391981002970114E-2</c:v>
                </c:pt>
                <c:pt idx="9">
                  <c:v>8.1154888525763968E-2</c:v>
                </c:pt>
                <c:pt idx="10">
                  <c:v>0.10617837679745036</c:v>
                </c:pt>
                <c:pt idx="11">
                  <c:v>-3.8199426988222596E-2</c:v>
                </c:pt>
                <c:pt idx="12">
                  <c:v>0.18124057894749354</c:v>
                </c:pt>
                <c:pt idx="13">
                  <c:v>0.12495030651547918</c:v>
                </c:pt>
                <c:pt idx="14">
                  <c:v>0.14770908075933839</c:v>
                </c:pt>
                <c:pt idx="15">
                  <c:v>7.3939398882282778E-2</c:v>
                </c:pt>
                <c:pt idx="16">
                  <c:v>0.1357881722423244</c:v>
                </c:pt>
                <c:pt idx="17">
                  <c:v>0.15949129207659027</c:v>
                </c:pt>
                <c:pt idx="18">
                  <c:v>7.8624630693821199E-3</c:v>
                </c:pt>
                <c:pt idx="19">
                  <c:v>0.12574637227016758</c:v>
                </c:pt>
                <c:pt idx="20">
                  <c:v>-3.3415232273231399E-2</c:v>
                </c:pt>
                <c:pt idx="21">
                  <c:v>2.0423426324304318E-2</c:v>
                </c:pt>
                <c:pt idx="22">
                  <c:v>5.1980747249092456E-2</c:v>
                </c:pt>
                <c:pt idx="23">
                  <c:v>-2.553108338932655E-2</c:v>
                </c:pt>
                <c:pt idx="24">
                  <c:v>-5.6135466894541242E-2</c:v>
                </c:pt>
                <c:pt idx="25">
                  <c:v>0.1088333273146642</c:v>
                </c:pt>
                <c:pt idx="26">
                  <c:v>4.2369761287673065E-2</c:v>
                </c:pt>
                <c:pt idx="27">
                  <c:v>9.4686475163157813E-2</c:v>
                </c:pt>
                <c:pt idx="28">
                  <c:v>0.10627932352400782</c:v>
                </c:pt>
                <c:pt idx="29">
                  <c:v>7.2955169104740869E-2</c:v>
                </c:pt>
                <c:pt idx="30">
                  <c:v>2.1202525197059591E-2</c:v>
                </c:pt>
                <c:pt idx="31">
                  <c:v>2.7068391783061925E-2</c:v>
                </c:pt>
                <c:pt idx="32">
                  <c:v>1.3349569717529354E-2</c:v>
                </c:pt>
                <c:pt idx="33">
                  <c:v>0.1180844300745534</c:v>
                </c:pt>
                <c:pt idx="34">
                  <c:v>0.13964776776183724</c:v>
                </c:pt>
                <c:pt idx="35">
                  <c:v>3.7277863863426297E-2</c:v>
                </c:pt>
                <c:pt idx="36">
                  <c:v>6.9772292316402806E-2</c:v>
                </c:pt>
                <c:pt idx="37">
                  <c:v>0.13208408194770008</c:v>
                </c:pt>
                <c:pt idx="38">
                  <c:v>6.1777977750300188E-2</c:v>
                </c:pt>
                <c:pt idx="39">
                  <c:v>0.10000129588031402</c:v>
                </c:pt>
                <c:pt idx="40">
                  <c:v>7.664420989532382E-2</c:v>
                </c:pt>
                <c:pt idx="41">
                  <c:v>0.14934731296777015</c:v>
                </c:pt>
                <c:pt idx="42">
                  <c:v>8.516177576922071E-2</c:v>
                </c:pt>
                <c:pt idx="43">
                  <c:v>4.1486043300654807E-2</c:v>
                </c:pt>
                <c:pt idx="44">
                  <c:v>0.16575836742517577</c:v>
                </c:pt>
                <c:pt idx="45">
                  <c:v>6.4494581499520837E-2</c:v>
                </c:pt>
                <c:pt idx="46">
                  <c:v>0.18235898189368124</c:v>
                </c:pt>
                <c:pt idx="47">
                  <c:v>7.257159022686456E-2</c:v>
                </c:pt>
                <c:pt idx="48">
                  <c:v>5.4831888552888085E-2</c:v>
                </c:pt>
                <c:pt idx="49">
                  <c:v>8.2309129836013628E-2</c:v>
                </c:pt>
                <c:pt idx="50">
                  <c:v>9.4176126786323783E-2</c:v>
                </c:pt>
                <c:pt idx="51">
                  <c:v>0.13775675738314264</c:v>
                </c:pt>
                <c:pt idx="52">
                  <c:v>5.6203519615044446E-2</c:v>
                </c:pt>
                <c:pt idx="53">
                  <c:v>8.0085309377434896E-2</c:v>
                </c:pt>
                <c:pt idx="54">
                  <c:v>6.9193759888202255E-2</c:v>
                </c:pt>
                <c:pt idx="55">
                  <c:v>9.8495017622710998E-2</c:v>
                </c:pt>
                <c:pt idx="56">
                  <c:v>5.5384672336064561E-2</c:v>
                </c:pt>
                <c:pt idx="57">
                  <c:v>7.1044081548221588E-2</c:v>
                </c:pt>
                <c:pt idx="58">
                  <c:v>5.7931239785909354E-2</c:v>
                </c:pt>
                <c:pt idx="59">
                  <c:v>6.7813059879108836E-2</c:v>
                </c:pt>
                <c:pt idx="60">
                  <c:v>8.1338692901501267E-2</c:v>
                </c:pt>
                <c:pt idx="61">
                  <c:v>6.0027586809859319E-2</c:v>
                </c:pt>
                <c:pt idx="62">
                  <c:v>3.5896181912235245E-2</c:v>
                </c:pt>
                <c:pt idx="63">
                  <c:v>1.8861249858326684E-2</c:v>
                </c:pt>
                <c:pt idx="64">
                  <c:v>2.0283924749358091E-2</c:v>
                </c:pt>
                <c:pt idx="65">
                  <c:v>3.6793306939973153E-2</c:v>
                </c:pt>
                <c:pt idx="66">
                  <c:v>4.75468524689905E-2</c:v>
                </c:pt>
                <c:pt idx="67">
                  <c:v>9.0065861625349044E-3</c:v>
                </c:pt>
                <c:pt idx="68">
                  <c:v>6.6338675597891653E-2</c:v>
                </c:pt>
                <c:pt idx="69">
                  <c:v>3.5445134904814296E-2</c:v>
                </c:pt>
                <c:pt idx="70">
                  <c:v>4.42375899363497E-2</c:v>
                </c:pt>
                <c:pt idx="71">
                  <c:v>5.6189340198511566E-2</c:v>
                </c:pt>
                <c:pt idx="72">
                  <c:v>4.6588444067091797E-2</c:v>
                </c:pt>
                <c:pt idx="73">
                  <c:v>6.521627209516577E-2</c:v>
                </c:pt>
                <c:pt idx="74">
                  <c:v>6.0036294690513525E-2</c:v>
                </c:pt>
                <c:pt idx="75">
                  <c:v>8.9301119469938073E-2</c:v>
                </c:pt>
                <c:pt idx="76">
                  <c:v>0.10042959861459441</c:v>
                </c:pt>
                <c:pt idx="77">
                  <c:v>0.10188032425811624</c:v>
                </c:pt>
                <c:pt idx="78">
                  <c:v>0.13330568593594863</c:v>
                </c:pt>
                <c:pt idx="79">
                  <c:v>0.13266708595580551</c:v>
                </c:pt>
                <c:pt idx="80">
                  <c:v>0.18214708045281086</c:v>
                </c:pt>
                <c:pt idx="81">
                  <c:v>0.17530284185888018</c:v>
                </c:pt>
                <c:pt idx="82">
                  <c:v>0.17735372190846538</c:v>
                </c:pt>
                <c:pt idx="83">
                  <c:v>0.19017477127312266</c:v>
                </c:pt>
                <c:pt idx="84">
                  <c:v>0.17919163306375671</c:v>
                </c:pt>
                <c:pt idx="85">
                  <c:v>0.2262226012142701</c:v>
                </c:pt>
                <c:pt idx="86">
                  <c:v>0.21701830827356827</c:v>
                </c:pt>
                <c:pt idx="87">
                  <c:v>0.23323917025942001</c:v>
                </c:pt>
                <c:pt idx="88">
                  <c:v>0.20685018703750113</c:v>
                </c:pt>
                <c:pt idx="89">
                  <c:v>0.22258661803955351</c:v>
                </c:pt>
                <c:pt idx="90">
                  <c:v>0.23432668006694299</c:v>
                </c:pt>
                <c:pt idx="91">
                  <c:v>0.11229292765608348</c:v>
                </c:pt>
                <c:pt idx="92">
                  <c:v>0.17677684909458213</c:v>
                </c:pt>
                <c:pt idx="93">
                  <c:v>0.17051228801397575</c:v>
                </c:pt>
                <c:pt idx="94">
                  <c:v>0.16397175607372361</c:v>
                </c:pt>
                <c:pt idx="95">
                  <c:v>0.15715876672831802</c:v>
                </c:pt>
                <c:pt idx="96">
                  <c:v>0.15008781732667595</c:v>
                </c:pt>
                <c:pt idx="97">
                  <c:v>0.14278532747096495</c:v>
                </c:pt>
                <c:pt idx="98">
                  <c:v>0.13528988859157215</c:v>
                </c:pt>
                <c:pt idx="99">
                  <c:v>0.1276516604529285</c:v>
                </c:pt>
                <c:pt idx="100">
                  <c:v>0.11993083413081446</c:v>
                </c:pt>
                <c:pt idx="101">
                  <c:v>0.11219519762801002</c:v>
                </c:pt>
                <c:pt idx="102">
                  <c:v>0.1045169707023916</c:v>
                </c:pt>
                <c:pt idx="103">
                  <c:v>9.696919284017988E-2</c:v>
                </c:pt>
                <c:pt idx="104">
                  <c:v>8.9622025087976717E-2</c:v>
                </c:pt>
                <c:pt idx="105">
                  <c:v>8.2539343140759322E-2</c:v>
                </c:pt>
                <c:pt idx="106">
                  <c:v>7.5775950937307657E-2</c:v>
                </c:pt>
                <c:pt idx="107">
                  <c:v>6.9375642917978167E-2</c:v>
                </c:pt>
                <c:pt idx="108">
                  <c:v>6.3370213491122929E-2</c:v>
                </c:pt>
                <c:pt idx="109">
                  <c:v>5.7779383026075978E-2</c:v>
                </c:pt>
                <c:pt idx="110">
                  <c:v>5.2611505507323429E-2</c:v>
                </c:pt>
                <c:pt idx="111">
                  <c:v>4.7864858349910985E-2</c:v>
                </c:pt>
                <c:pt idx="112">
                  <c:v>4.3529292540638365E-2</c:v>
                </c:pt>
                <c:pt idx="113">
                  <c:v>3.9588034496913872E-2</c:v>
                </c:pt>
                <c:pt idx="114">
                  <c:v>3.6019467902524832E-2</c:v>
                </c:pt>
                <c:pt idx="115">
                  <c:v>3.2798771528929176E-2</c:v>
                </c:pt>
                <c:pt idx="116">
                  <c:v>2.9899337148281094E-2</c:v>
                </c:pt>
                <c:pt idx="117">
                  <c:v>2.7293933172621188E-2</c:v>
                </c:pt>
                <c:pt idx="118">
                  <c:v>2.4955611303742554E-2</c:v>
                </c:pt>
                <c:pt idx="119">
                  <c:v>2.2858374747445277E-2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41-49A4-BA45-45D99E1CC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042143"/>
        <c:axId val="953041663"/>
      </c:scatterChart>
      <c:valAx>
        <c:axId val="953042143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041663"/>
        <c:crosses val="autoZero"/>
        <c:crossBetween val="midCat"/>
      </c:valAx>
      <c:valAx>
        <c:axId val="953041663"/>
        <c:scaling>
          <c:orientation val="minMax"/>
          <c:max val="0.30000000000000004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600"/>
                  <a:t>Fatigue</a:t>
                </a:r>
                <a:r>
                  <a:rPr lang="en-IE" sz="1600" baseline="0"/>
                  <a:t> Rate (finite difference approximation)</a:t>
                </a:r>
                <a:endParaRPr lang="en-I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042143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9354FA-D7D2-4E5E-9A5E-7173BF84AFDD}">
  <sheetPr codeName="Chart1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D7D256-00A3-4027-BDB8-CD77F8683075}">
  <sheetPr codeName="Chart2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C6465AB-8469-4CC3-8083-7FE41D3E4ECD}">
  <sheetPr codeName="Chart8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B80E154-F23D-46F0-A4C9-2CA798FD0A19}">
  <sheetPr codeName="Chart3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B9274D0-6753-4EF7-9077-F49312E774B8}">
  <sheetPr codeName="Chart4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842D73-6F32-456D-9628-2F0A2697FD79}">
  <sheetPr codeName="Chart6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37EC608-F8F3-4874-B8BA-F5B4A0B66A6D}">
  <sheetPr codeName="Chart5"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CCA52DF-0282-4A93-824B-DE01E8987CDF}">
  <sheetPr codeName="Chart7"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9A8138-CF14-08C5-6BB1-911ABC4854B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1F01A7-E4AE-1A3C-E080-428D0A6619F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C15417-C01F-2018-A0D7-40939081623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42832A-7DD7-6241-0574-EAC6B94AFF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2022DD-2188-D63F-C9EF-D1DF472C36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E30626-9025-2DF3-DBC1-70A3C38182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E0D7B1-10BD-0A7A-886A-4758966D0DA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0308" cy="60764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6B9FC9-4B98-530E-9724-702888C4A50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039C7-15E9-4C5F-81CF-4535B1C8B33F}">
  <sheetPr codeName="Sheet1"/>
  <dimension ref="A1:B18"/>
  <sheetViews>
    <sheetView tabSelected="1" workbookViewId="0">
      <selection sqref="A1:A18"/>
    </sheetView>
  </sheetViews>
  <sheetFormatPr defaultRowHeight="14.4" x14ac:dyDescent="0.3"/>
  <cols>
    <col min="1" max="1" width="51.77734375" customWidth="1"/>
  </cols>
  <sheetData>
    <row r="1" spans="1:2" x14ac:dyDescent="0.3">
      <c r="A1" s="1" t="s">
        <v>28</v>
      </c>
    </row>
    <row r="2" spans="1:2" x14ac:dyDescent="0.3">
      <c r="A2" t="s">
        <v>29</v>
      </c>
    </row>
    <row r="3" spans="1:2" x14ac:dyDescent="0.3">
      <c r="A3" t="s">
        <v>109</v>
      </c>
    </row>
    <row r="4" spans="1:2" x14ac:dyDescent="0.3">
      <c r="A4" t="s">
        <v>30</v>
      </c>
    </row>
    <row r="5" spans="1:2" x14ac:dyDescent="0.3">
      <c r="A5" t="s">
        <v>103</v>
      </c>
    </row>
    <row r="6" spans="1:2" x14ac:dyDescent="0.3">
      <c r="A6" t="s">
        <v>31</v>
      </c>
    </row>
    <row r="7" spans="1:2" x14ac:dyDescent="0.3">
      <c r="A7" s="5" t="s">
        <v>32</v>
      </c>
      <c r="B7" t="s">
        <v>43</v>
      </c>
    </row>
    <row r="8" spans="1:2" x14ac:dyDescent="0.3">
      <c r="A8" s="5" t="s">
        <v>44</v>
      </c>
      <c r="B8" t="s">
        <v>45</v>
      </c>
    </row>
    <row r="9" spans="1:2" x14ac:dyDescent="0.3">
      <c r="A9" s="5" t="s">
        <v>33</v>
      </c>
      <c r="B9" t="s">
        <v>49</v>
      </c>
    </row>
    <row r="10" spans="1:2" x14ac:dyDescent="0.3">
      <c r="A10" s="5" t="s">
        <v>34</v>
      </c>
      <c r="B10" t="s">
        <v>46</v>
      </c>
    </row>
    <row r="11" spans="1:2" x14ac:dyDescent="0.3">
      <c r="A11" s="5" t="s">
        <v>35</v>
      </c>
      <c r="B11" t="s">
        <v>47</v>
      </c>
    </row>
    <row r="12" spans="1:2" x14ac:dyDescent="0.3">
      <c r="A12" s="5" t="s">
        <v>36</v>
      </c>
      <c r="B12" t="s">
        <v>48</v>
      </c>
    </row>
    <row r="13" spans="1:2" x14ac:dyDescent="0.3">
      <c r="A13" s="5" t="s">
        <v>37</v>
      </c>
      <c r="B13" t="s">
        <v>50</v>
      </c>
    </row>
    <row r="14" spans="1:2" x14ac:dyDescent="0.3">
      <c r="A14" s="5" t="s">
        <v>38</v>
      </c>
      <c r="B14" t="s">
        <v>51</v>
      </c>
    </row>
    <row r="15" spans="1:2" x14ac:dyDescent="0.3">
      <c r="A15" s="5" t="s">
        <v>39</v>
      </c>
      <c r="B15" t="s">
        <v>52</v>
      </c>
    </row>
    <row r="16" spans="1:2" x14ac:dyDescent="0.3">
      <c r="A16" s="5" t="s">
        <v>40</v>
      </c>
      <c r="B16" t="s">
        <v>110</v>
      </c>
    </row>
    <row r="17" spans="1:2" x14ac:dyDescent="0.3">
      <c r="A17" s="5" t="s">
        <v>41</v>
      </c>
      <c r="B17" t="s">
        <v>53</v>
      </c>
    </row>
    <row r="18" spans="1:2" x14ac:dyDescent="0.3">
      <c r="A18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ECBFC-0980-425F-8781-60D896BA8F9B}">
  <sheetPr codeName="Sheet3"/>
  <dimension ref="A1:AB202"/>
  <sheetViews>
    <sheetView workbookViewId="0">
      <selection activeCell="C4" sqref="C4"/>
    </sheetView>
  </sheetViews>
  <sheetFormatPr defaultRowHeight="14.4" x14ac:dyDescent="0.3"/>
  <cols>
    <col min="2" max="2" width="12" bestFit="1" customWidth="1"/>
  </cols>
  <sheetData>
    <row r="1" spans="1:28" x14ac:dyDescent="0.3">
      <c r="A1" s="1" t="s">
        <v>4</v>
      </c>
      <c r="H1" s="1" t="s">
        <v>14</v>
      </c>
    </row>
    <row r="3" spans="1:28" x14ac:dyDescent="0.3">
      <c r="A3" t="s">
        <v>3</v>
      </c>
      <c r="B3">
        <v>0.1</v>
      </c>
      <c r="C3">
        <v>0.2</v>
      </c>
      <c r="D3">
        <v>0.3</v>
      </c>
      <c r="E3">
        <v>0.4</v>
      </c>
      <c r="F3">
        <v>0.5</v>
      </c>
      <c r="I3">
        <f t="array" ref="I3:M3">B3:F3</f>
        <v>0.1</v>
      </c>
      <c r="J3">
        <v>0.2</v>
      </c>
      <c r="K3">
        <v>0.3</v>
      </c>
      <c r="L3">
        <v>0.4</v>
      </c>
      <c r="M3">
        <v>0.5</v>
      </c>
    </row>
    <row r="4" spans="1:28" x14ac:dyDescent="0.3">
      <c r="A4" t="s">
        <v>6</v>
      </c>
      <c r="B4" s="3" cm="1">
        <f t="array" ref="B4">GompEtafromGini(B3)</f>
        <v>5.7166271121797017E-4</v>
      </c>
      <c r="C4" s="3" cm="1">
        <f t="array" ref="C4">GompEtafromGini(C3)</f>
        <v>2.9497849504849512E-2</v>
      </c>
      <c r="D4" s="3" cm="1">
        <f t="array" ref="D4">GompEtafromGini(D3)</f>
        <v>0.20566827837030077</v>
      </c>
      <c r="E4" s="3" cm="1">
        <f t="array" ref="E4">GompEtafromGini(E3)</f>
        <v>1.1148293399881442</v>
      </c>
    </row>
    <row r="5" spans="1:28" x14ac:dyDescent="0.3">
      <c r="A5" t="s">
        <v>1</v>
      </c>
      <c r="B5" cm="1">
        <f t="array" ref="B5">GompMean(B4,0)</f>
        <v>6.8942573858970633</v>
      </c>
      <c r="C5" cm="1">
        <f t="array" ref="C5">GompMean(C4,0)</f>
        <v>3.064582307616571</v>
      </c>
      <c r="D5" cm="1">
        <f t="array" ref="D5">GompMean(D4,0)</f>
        <v>1.4738105676544926</v>
      </c>
      <c r="E5" cm="1">
        <f t="array" ref="E5">GompMean(E4,0)</f>
        <v>0.55360399339705535</v>
      </c>
    </row>
    <row r="7" spans="1:28" x14ac:dyDescent="0.3">
      <c r="H7" t="s">
        <v>54</v>
      </c>
      <c r="I7" t="s">
        <v>108</v>
      </c>
      <c r="N7" t="s">
        <v>55</v>
      </c>
      <c r="S7" t="s">
        <v>56</v>
      </c>
      <c r="X7">
        <v>0</v>
      </c>
      <c r="Y7" t="s">
        <v>57</v>
      </c>
    </row>
    <row r="8" spans="1:28" x14ac:dyDescent="0.3">
      <c r="X8">
        <v>1</v>
      </c>
      <c r="Y8" t="s">
        <v>58</v>
      </c>
    </row>
    <row r="9" spans="1:28" x14ac:dyDescent="0.3">
      <c r="A9" t="s">
        <v>5</v>
      </c>
      <c r="B9" t="s">
        <v>7</v>
      </c>
    </row>
    <row r="10" spans="1:28" x14ac:dyDescent="0.3">
      <c r="A10">
        <v>0</v>
      </c>
      <c r="B10">
        <f t="shared" ref="B10:E29" si="0">B$5*B$4*EXP(B$5*$A10-B$4*(EXP(B$5*$A10)-1))</f>
        <v>3.9411898690564304E-3</v>
      </c>
      <c r="C10">
        <f t="shared" si="0"/>
        <v>9.0398587705298045E-2</v>
      </c>
      <c r="D10">
        <f t="shared" si="0"/>
        <v>0.3031160820934552</v>
      </c>
      <c r="E10">
        <f t="shared" si="0"/>
        <v>0.61717397457364009</v>
      </c>
      <c r="F10">
        <f>EXP(-A10)</f>
        <v>1</v>
      </c>
      <c r="H10">
        <v>0</v>
      </c>
      <c r="I10">
        <f>1/B$5*LN(1-LN(1-$H10)/B$4)</f>
        <v>0</v>
      </c>
      <c r="J10">
        <f t="shared" ref="J10:J73" si="1">1/C$5*LN(1-LN(1-$H10)/C$4)</f>
        <v>0</v>
      </c>
      <c r="K10">
        <f t="shared" ref="K10:K73" si="2">1/D$5*LN(1-LN(1-$H10)/D$4)</f>
        <v>0</v>
      </c>
      <c r="L10">
        <f t="shared" ref="L10:L73" si="3">1/E$5*LN(1-LN(1-$H10)/E$4)</f>
        <v>0</v>
      </c>
      <c r="M10">
        <f>-LN(1-H10)</f>
        <v>0</v>
      </c>
      <c r="N10">
        <f>B$4*EXP(B$5*I10)</f>
        <v>5.7166271121797017E-4</v>
      </c>
      <c r="O10">
        <f t="shared" ref="O10:O73" si="4">C$4*EXP(C$5*J10)</f>
        <v>2.9497849504849512E-2</v>
      </c>
      <c r="P10">
        <f t="shared" ref="P10:P73" si="5">D$4*EXP(D$5*K10)</f>
        <v>0.20566827837030077</v>
      </c>
      <c r="Q10">
        <f t="shared" ref="Q10:Q73" si="6">E$4*EXP(E$5*L10)</f>
        <v>1.1148293399881442</v>
      </c>
      <c r="R10" t="e">
        <v>#N/A</v>
      </c>
      <c r="S10" cm="1">
        <f t="array" ref="S10">GompMean(N10,0)/B$5</f>
        <v>1</v>
      </c>
      <c r="T10" cm="1">
        <f t="array" ref="T10">GompMean(O10,0)/C$5</f>
        <v>1</v>
      </c>
      <c r="U10" cm="1">
        <f t="array" ref="U10">GompMean(P10,0)/D$5</f>
        <v>1</v>
      </c>
      <c r="V10" cm="1">
        <f t="array" ref="V10">GompMean(Q10,0)/E$5</f>
        <v>1</v>
      </c>
      <c r="W10">
        <v>1</v>
      </c>
      <c r="X10">
        <f>1-(1-$H10)*(I10+S10)</f>
        <v>0</v>
      </c>
      <c r="Y10">
        <f t="shared" ref="Y10:Y73" si="7">1-(1-$H10)*(J10+T10)</f>
        <v>0</v>
      </c>
      <c r="Z10">
        <f t="shared" ref="Z10:Z73" si="8">1-(1-$H10)*(K10+U10)</f>
        <v>0</v>
      </c>
      <c r="AA10">
        <f t="shared" ref="AA10:AA73" si="9">1-(1-$H10)*(L10+V10)</f>
        <v>0</v>
      </c>
      <c r="AB10">
        <f t="shared" ref="AB10:AB73" si="10">1-(1-$H10)*(M10+W10)</f>
        <v>0</v>
      </c>
    </row>
    <row r="11" spans="1:28" x14ac:dyDescent="0.3">
      <c r="A11">
        <f>A10+1/64</f>
        <v>1.5625E-2</v>
      </c>
      <c r="B11">
        <f t="shared" si="0"/>
        <v>4.3891712427060791E-3</v>
      </c>
      <c r="C11">
        <f t="shared" si="0"/>
        <v>9.4695445140208709E-2</v>
      </c>
      <c r="D11">
        <f t="shared" si="0"/>
        <v>0.30869476974091459</v>
      </c>
      <c r="E11">
        <f t="shared" si="0"/>
        <v>0.61653546261447456</v>
      </c>
      <c r="F11">
        <f t="shared" ref="F11:F74" si="11">EXP(-A11)</f>
        <v>0.98449643700540845</v>
      </c>
      <c r="H11">
        <f>H10+1/64</f>
        <v>1.5625E-2</v>
      </c>
      <c r="I11">
        <f t="shared" ref="I11:I73" si="12">1/B$5*LN(1-LN(1-$H11)/B$4)</f>
        <v>0.48614353874583061</v>
      </c>
      <c r="J11">
        <f t="shared" si="1"/>
        <v>0.13959535959252903</v>
      </c>
      <c r="K11">
        <f t="shared" si="2"/>
        <v>5.0061781622508336E-2</v>
      </c>
      <c r="L11">
        <f t="shared" si="3"/>
        <v>2.5338334998413672E-2</v>
      </c>
      <c r="M11">
        <f t="shared" ref="M11:M73" si="13">-LN(1-H11)</f>
        <v>1.5748356968139168E-2</v>
      </c>
      <c r="N11">
        <f t="shared" ref="N11:N73" si="14">B$4*EXP(B$5*I11)</f>
        <v>1.6320019679357128E-2</v>
      </c>
      <c r="O11">
        <f t="shared" si="4"/>
        <v>4.524620647298868E-2</v>
      </c>
      <c r="P11">
        <f t="shared" si="5"/>
        <v>0.22141663533843992</v>
      </c>
      <c r="Q11">
        <f t="shared" si="6"/>
        <v>1.1305776969562833</v>
      </c>
      <c r="R11" t="e">
        <v>#N/A</v>
      </c>
      <c r="S11" cm="1">
        <f t="array" ref="S11">GompMean(N11,0)/B$5</f>
        <v>0.52404259828894661</v>
      </c>
      <c r="T11" cm="1">
        <f t="array" ref="T11">GompMean(O11,0)/C$5</f>
        <v>0.87509389360623224</v>
      </c>
      <c r="U11" cm="1">
        <f t="array" ref="U11">GompMean(P11,0)/D$5</f>
        <v>0.96541007587436423</v>
      </c>
      <c r="V11" cm="1">
        <f t="array" ref="V11">GompMean(Q11,0)/E$5</f>
        <v>0.99033364065565399</v>
      </c>
      <c r="W11">
        <v>1</v>
      </c>
      <c r="X11">
        <f t="shared" ref="X11:X73" si="15">1-(1-$H11)*(I11+S11)</f>
        <v>5.5980213563910919E-3</v>
      </c>
      <c r="Y11">
        <f t="shared" si="7"/>
        <v>1.1652663824693876E-3</v>
      </c>
      <c r="Z11">
        <f t="shared" si="8"/>
        <v>3.9489027651595787E-4</v>
      </c>
      <c r="AA11">
        <f t="shared" si="9"/>
        <v>1.9789896552702135E-4</v>
      </c>
      <c r="AB11">
        <f t="shared" si="10"/>
        <v>1.2271110948802733E-4</v>
      </c>
    </row>
    <row r="12" spans="1:28" x14ac:dyDescent="0.3">
      <c r="A12">
        <f t="shared" ref="A12:A75" si="16">A11+1/64</f>
        <v>3.125E-2</v>
      </c>
      <c r="B12">
        <f t="shared" si="0"/>
        <v>4.8880369554440903E-3</v>
      </c>
      <c r="C12">
        <f t="shared" si="0"/>
        <v>9.9189502957136494E-2</v>
      </c>
      <c r="D12">
        <f t="shared" si="0"/>
        <v>0.31434104392379464</v>
      </c>
      <c r="E12">
        <f t="shared" si="0"/>
        <v>0.61584579135121431</v>
      </c>
      <c r="F12">
        <f t="shared" si="11"/>
        <v>0.96923323447634413</v>
      </c>
      <c r="H12">
        <f>H11+1/64</f>
        <v>3.125E-2</v>
      </c>
      <c r="I12">
        <f t="shared" si="12"/>
        <v>0.58525571433166723</v>
      </c>
      <c r="J12">
        <f t="shared" si="1"/>
        <v>0.23839794458808225</v>
      </c>
      <c r="K12">
        <f t="shared" si="2"/>
        <v>9.7402896930317132E-2</v>
      </c>
      <c r="L12">
        <f t="shared" si="3"/>
        <v>5.0723175764990663E-2</v>
      </c>
      <c r="M12">
        <f t="shared" si="13"/>
        <v>3.1748698314580298E-2</v>
      </c>
      <c r="N12">
        <f t="shared" si="14"/>
        <v>3.2320361025798279E-2</v>
      </c>
      <c r="O12">
        <f t="shared" si="4"/>
        <v>6.1246547819429814E-2</v>
      </c>
      <c r="P12">
        <f t="shared" si="5"/>
        <v>0.2374169766848811</v>
      </c>
      <c r="Q12">
        <f t="shared" si="6"/>
        <v>1.1465780383027246</v>
      </c>
      <c r="R12" t="e">
        <v>#N/A</v>
      </c>
      <c r="S12" cm="1">
        <f t="array" ref="S12">GompMean(N12,0)/B$5</f>
        <v>0.43249520407750019</v>
      </c>
      <c r="T12" cm="1">
        <f t="array" ref="T12">GompMean(O12,0)/C$5</f>
        <v>0.7895709009554519</v>
      </c>
      <c r="U12" cm="1">
        <f t="array" ref="U12">GompMean(P12,0)/D$5</f>
        <v>0.93325488633543208</v>
      </c>
      <c r="V12" cm="1">
        <f t="array" ref="V12">GompMean(Q12,0)/E$5</f>
        <v>0.9807172731024123</v>
      </c>
      <c r="W12">
        <v>1</v>
      </c>
      <c r="X12">
        <f t="shared" si="15"/>
        <v>1.4053797791119149E-2</v>
      </c>
      <c r="Y12">
        <f t="shared" si="7"/>
        <v>4.1551808797013479E-3</v>
      </c>
      <c r="Z12">
        <f t="shared" si="8"/>
        <v>1.5502724613053465E-3</v>
      </c>
      <c r="AA12">
        <f t="shared" si="9"/>
        <v>7.9206515970342561E-4</v>
      </c>
      <c r="AB12">
        <f t="shared" si="10"/>
        <v>4.9344850775034921E-4</v>
      </c>
    </row>
    <row r="13" spans="1:28" x14ac:dyDescent="0.3">
      <c r="A13">
        <f t="shared" si="16"/>
        <v>4.6875E-2</v>
      </c>
      <c r="B13">
        <f t="shared" si="0"/>
        <v>5.4435580577696738E-3</v>
      </c>
      <c r="C13">
        <f t="shared" si="0"/>
        <v>0.10388910530885306</v>
      </c>
      <c r="D13">
        <f t="shared" si="0"/>
        <v>0.32005403685443262</v>
      </c>
      <c r="E13">
        <f t="shared" si="0"/>
        <v>0.61510468437189936</v>
      </c>
      <c r="F13">
        <f t="shared" si="11"/>
        <v>0.95420666596918835</v>
      </c>
      <c r="H13">
        <f t="shared" ref="H13:H74" si="17">H12+1/64</f>
        <v>4.6875E-2</v>
      </c>
      <c r="I13">
        <f t="shared" si="12"/>
        <v>0.64436761720477742</v>
      </c>
      <c r="J13">
        <f t="shared" si="1"/>
        <v>0.31523114134347102</v>
      </c>
      <c r="K13">
        <f t="shared" si="2"/>
        <v>0.14235153318066943</v>
      </c>
      <c r="L13">
        <f t="shared" si="3"/>
        <v>7.616042403882127E-2</v>
      </c>
      <c r="M13">
        <f t="shared" si="13"/>
        <v>4.8009219186360606E-2</v>
      </c>
      <c r="N13">
        <f t="shared" si="14"/>
        <v>4.8580881897578587E-2</v>
      </c>
      <c r="O13">
        <f t="shared" si="4"/>
        <v>7.7507068691210115E-2</v>
      </c>
      <c r="P13">
        <f t="shared" si="5"/>
        <v>0.25367749755666136</v>
      </c>
      <c r="Q13">
        <f t="shared" si="6"/>
        <v>1.1628385591745047</v>
      </c>
      <c r="R13" t="e">
        <v>#N/A</v>
      </c>
      <c r="S13" cm="1">
        <f t="array" ref="S13">GompMean(N13,0)/B$5</f>
        <v>0.37995734959382882</v>
      </c>
      <c r="T13" cm="1">
        <f t="array" ref="T13">GompMean(O13,0)/C$5</f>
        <v>0.7250287208279862</v>
      </c>
      <c r="U13" cm="1">
        <f t="array" ref="U13">GompMean(P13,0)/D$5</f>
        <v>0.90323400988054281</v>
      </c>
      <c r="V13" cm="1">
        <f t="array" ref="V13">GompMean(Q13,0)/E$5</f>
        <v>0.97114893083574272</v>
      </c>
      <c r="W13">
        <v>1</v>
      </c>
      <c r="X13">
        <f t="shared" si="15"/>
        <v>2.3690266020078399E-2</v>
      </c>
      <c r="Y13">
        <f t="shared" si="7"/>
        <v>8.5023188678299277E-3</v>
      </c>
      <c r="Z13">
        <f t="shared" si="8"/>
        <v>3.4262792697821176E-3</v>
      </c>
      <c r="AA13">
        <f t="shared" si="9"/>
        <v>1.7832711351811747E-3</v>
      </c>
      <c r="AB13">
        <f t="shared" si="10"/>
        <v>1.1162129630000184E-3</v>
      </c>
    </row>
    <row r="14" spans="1:28" x14ac:dyDescent="0.3">
      <c r="A14">
        <f t="shared" si="16"/>
        <v>6.25E-2</v>
      </c>
      <c r="B14">
        <f t="shared" si="0"/>
        <v>6.0621580347701085E-3</v>
      </c>
      <c r="C14">
        <f t="shared" si="0"/>
        <v>0.10880287730883152</v>
      </c>
      <c r="D14">
        <f t="shared" si="0"/>
        <v>0.32583277742370359</v>
      </c>
      <c r="E14">
        <f t="shared" si="0"/>
        <v>0.61431187634041984</v>
      </c>
      <c r="F14">
        <f t="shared" si="11"/>
        <v>0.93941306281347581</v>
      </c>
      <c r="H14">
        <f t="shared" si="17"/>
        <v>6.25E-2</v>
      </c>
      <c r="I14">
        <f t="shared" si="12"/>
        <v>0.68684512821092247</v>
      </c>
      <c r="J14">
        <f t="shared" si="1"/>
        <v>0.37831069628433972</v>
      </c>
      <c r="K14">
        <f t="shared" si="2"/>
        <v>0.18518188444988143</v>
      </c>
      <c r="L14">
        <f t="shared" si="3"/>
        <v>0.10165614736014929</v>
      </c>
      <c r="M14">
        <f t="shared" si="13"/>
        <v>6.4538521137571178E-2</v>
      </c>
      <c r="N14">
        <f t="shared" si="14"/>
        <v>6.5110183848789138E-2</v>
      </c>
      <c r="O14">
        <f t="shared" si="4"/>
        <v>9.403637064242068E-2</v>
      </c>
      <c r="P14">
        <f t="shared" si="5"/>
        <v>0.27020679950787196</v>
      </c>
      <c r="Q14">
        <f>E$4*EXP(E$5*L14)</f>
        <v>1.1793678611257155</v>
      </c>
      <c r="R14" t="e">
        <v>#N/A</v>
      </c>
      <c r="S14" cm="1">
        <f t="array" ref="S14">GompMean(N14,0)/B$5</f>
        <v>0.34344220174346596</v>
      </c>
      <c r="T14" cm="1">
        <f t="array" ref="T14">GompMean(O14,0)/C$5</f>
        <v>0.67349183568885362</v>
      </c>
      <c r="U14" cm="1">
        <f t="array" ref="U14">GompMean(P14,0)/D$5</f>
        <v>0.87509786756381591</v>
      </c>
      <c r="V14" cm="1">
        <f t="array" ref="V14">GompMean(Q14,0)/E$5</f>
        <v>0.96162664417339516</v>
      </c>
      <c r="W14">
        <v>1</v>
      </c>
      <c r="X14">
        <f t="shared" si="15"/>
        <v>3.410562816776086E-2</v>
      </c>
      <c r="Y14">
        <f t="shared" si="7"/>
        <v>1.393512627513116E-2</v>
      </c>
      <c r="Z14">
        <f t="shared" si="8"/>
        <v>5.9877324871587811E-3</v>
      </c>
      <c r="AA14">
        <f t="shared" si="9"/>
        <v>3.1723829373020429E-3</v>
      </c>
      <c r="AB14">
        <f t="shared" si="10"/>
        <v>1.9951364335271116E-3</v>
      </c>
    </row>
    <row r="15" spans="1:28" x14ac:dyDescent="0.3">
      <c r="A15">
        <f t="shared" si="16"/>
        <v>7.8125E-2</v>
      </c>
      <c r="B15">
        <f t="shared" si="0"/>
        <v>6.7509860629870215E-3</v>
      </c>
      <c r="C15">
        <f t="shared" si="0"/>
        <v>0.1139397267010983</v>
      </c>
      <c r="D15">
        <f t="shared" si="0"/>
        <v>0.33167618684548456</v>
      </c>
      <c r="E15">
        <f t="shared" si="0"/>
        <v>0.61346711328654135</v>
      </c>
      <c r="F15">
        <f t="shared" si="11"/>
        <v>0.92484881321620482</v>
      </c>
      <c r="H15">
        <f t="shared" si="17"/>
        <v>7.8125E-2</v>
      </c>
      <c r="I15">
        <f t="shared" si="12"/>
        <v>0.72015245116573157</v>
      </c>
      <c r="J15">
        <f t="shared" si="1"/>
        <v>0.43196811229234516</v>
      </c>
      <c r="K15">
        <f t="shared" si="2"/>
        <v>0.22612549018720879</v>
      </c>
      <c r="L15">
        <f t="shared" si="3"/>
        <v>0.12721659283090378</v>
      </c>
      <c r="M15">
        <f t="shared" si="13"/>
        <v>8.1345639453952401E-2</v>
      </c>
      <c r="N15">
        <f t="shared" si="14"/>
        <v>8.1917302165170375E-2</v>
      </c>
      <c r="O15">
        <f t="shared" si="4"/>
        <v>0.11084348895880193</v>
      </c>
      <c r="P15">
        <f t="shared" si="5"/>
        <v>0.28701391782425317</v>
      </c>
      <c r="Q15">
        <f t="shared" si="6"/>
        <v>1.1961749794420964</v>
      </c>
      <c r="R15" t="e">
        <v>#N/A</v>
      </c>
      <c r="S15" cm="1">
        <f t="array" ref="S15">GompMean(N15,0)/B$5</f>
        <v>0.31566366369231946</v>
      </c>
      <c r="T15" cm="1">
        <f t="array" ref="T15">GompMean(O15,0)/C$5</f>
        <v>0.63078362767904061</v>
      </c>
      <c r="U15" cm="1">
        <f t="array" ref="U15">GompMean(P15,0)/D$5</f>
        <v>0.84863693178454769</v>
      </c>
      <c r="V15" cm="1">
        <f t="array" ref="V15">GompMean(Q15,0)/E$5</f>
        <v>0.95214843735106069</v>
      </c>
      <c r="W15">
        <v>1</v>
      </c>
      <c r="X15">
        <f t="shared" si="15"/>
        <v>4.510701911523407E-2</v>
      </c>
      <c r="Y15">
        <f t="shared" si="7"/>
        <v>2.0275739713878749E-2</v>
      </c>
      <c r="Z15">
        <f t="shared" si="8"/>
        <v>9.2033922447870564E-3</v>
      </c>
      <c r="AA15">
        <f t="shared" si="9"/>
        <v>4.9603628010015388E-3</v>
      </c>
      <c r="AB15">
        <f t="shared" si="10"/>
        <v>3.1344886283876106E-3</v>
      </c>
    </row>
    <row r="16" spans="1:28" x14ac:dyDescent="0.3">
      <c r="A16">
        <f t="shared" si="16"/>
        <v>9.375E-2</v>
      </c>
      <c r="B16">
        <f t="shared" si="0"/>
        <v>7.5179983714766824E-3</v>
      </c>
      <c r="C16">
        <f t="shared" si="0"/>
        <v>0.11930884451247785</v>
      </c>
      <c r="D16">
        <f t="shared" si="0"/>
        <v>0.33758307422051148</v>
      </c>
      <c r="E16">
        <f t="shared" si="0"/>
        <v>0.6125701528958547</v>
      </c>
      <c r="F16">
        <f t="shared" si="11"/>
        <v>0.91051036138003416</v>
      </c>
      <c r="H16">
        <f t="shared" si="17"/>
        <v>9.375E-2</v>
      </c>
      <c r="I16">
        <f t="shared" si="12"/>
        <v>0.74764317931192503</v>
      </c>
      <c r="J16">
        <f t="shared" si="1"/>
        <v>0.47876925941704152</v>
      </c>
      <c r="K16">
        <f t="shared" si="2"/>
        <v>0.26537975311350098</v>
      </c>
      <c r="L16">
        <f t="shared" si="3"/>
        <v>0.15284820188094322</v>
      </c>
      <c r="M16">
        <f t="shared" si="13"/>
        <v>9.8440072813252524E-2</v>
      </c>
      <c r="N16">
        <f t="shared" si="14"/>
        <v>9.9011735524470498E-2</v>
      </c>
      <c r="O16">
        <f t="shared" si="4"/>
        <v>0.12793792231810203</v>
      </c>
      <c r="P16">
        <f t="shared" si="5"/>
        <v>0.30410835118355334</v>
      </c>
      <c r="Q16">
        <f t="shared" si="6"/>
        <v>1.2132694128013966</v>
      </c>
      <c r="R16" t="e">
        <v>#N/A</v>
      </c>
      <c r="S16" cm="1">
        <f t="array" ref="S16">GompMean(N16,0)/B$5</f>
        <v>0.29337161635725845</v>
      </c>
      <c r="T16" cm="1">
        <f t="array" ref="T16">GompMean(O16,0)/C$5</f>
        <v>0.59444610982089108</v>
      </c>
      <c r="U16" cm="1">
        <f t="array" ref="U16">GompMean(P16,0)/D$5</f>
        <v>0.82367364256850262</v>
      </c>
      <c r="V16" cm="1">
        <f t="array" ref="V16">GompMean(Q16,0)/E$5</f>
        <v>0.94271232548960326</v>
      </c>
      <c r="W16">
        <v>1</v>
      </c>
      <c r="X16">
        <f t="shared" si="15"/>
        <v>5.6580341424802394E-2</v>
      </c>
      <c r="Y16">
        <f t="shared" si="7"/>
        <v>2.7398571628123647E-2</v>
      </c>
      <c r="Z16">
        <f t="shared" si="8"/>
        <v>1.3045360163184139E-2</v>
      </c>
      <c r="AA16">
        <f t="shared" si="9"/>
        <v>7.1482720704423297E-3</v>
      </c>
      <c r="AB16">
        <f t="shared" si="10"/>
        <v>4.5386840129898465E-3</v>
      </c>
    </row>
    <row r="17" spans="1:28" x14ac:dyDescent="0.3">
      <c r="A17">
        <f t="shared" si="16"/>
        <v>0.109375</v>
      </c>
      <c r="B17">
        <f t="shared" si="0"/>
        <v>8.3720485742168112E-3</v>
      </c>
      <c r="C17">
        <f t="shared" si="0"/>
        <v>0.12491970454425687</v>
      </c>
      <c r="D17">
        <f t="shared" si="0"/>
        <v>0.34355213202441359</v>
      </c>
      <c r="E17">
        <f t="shared" si="0"/>
        <v>0.61162076479944794</v>
      </c>
      <c r="F17">
        <f t="shared" si="11"/>
        <v>0.89639420663515046</v>
      </c>
      <c r="H17">
        <f t="shared" si="17"/>
        <v>0.109375</v>
      </c>
      <c r="I17">
        <f t="shared" si="12"/>
        <v>0.77111547281477433</v>
      </c>
      <c r="J17">
        <f t="shared" si="1"/>
        <v>0.52036042472465738</v>
      </c>
      <c r="K17">
        <f t="shared" si="2"/>
        <v>0.30311443943013799</v>
      </c>
      <c r="L17">
        <f t="shared" si="3"/>
        <v>0.17855762614664605</v>
      </c>
      <c r="M17">
        <f t="shared" si="13"/>
        <v>0.1158318155251217</v>
      </c>
      <c r="N17">
        <f t="shared" si="14"/>
        <v>0.11640347823633954</v>
      </c>
      <c r="O17">
        <f t="shared" si="4"/>
        <v>0.14532966502997119</v>
      </c>
      <c r="P17">
        <f t="shared" si="5"/>
        <v>0.32150009389542245</v>
      </c>
      <c r="Q17">
        <f t="shared" si="6"/>
        <v>1.2306611555132658</v>
      </c>
      <c r="R17" t="e">
        <v>#N/A</v>
      </c>
      <c r="S17" cm="1">
        <f t="array" ref="S17">GompMean(N17,0)/B$5</f>
        <v>0.27483534156200184</v>
      </c>
      <c r="T17" cm="1">
        <f t="array" ref="T17">GompMean(O17,0)/C$5</f>
        <v>0.56291229764786321</v>
      </c>
      <c r="U17" cm="1">
        <f t="array" ref="U17">GompMean(P17,0)/D$5</f>
        <v>0.80005625646259992</v>
      </c>
      <c r="V17" cm="1">
        <f t="array" ref="V17">GompMean(Q17,0)/E$5</f>
        <v>0.93331631141638649</v>
      </c>
      <c r="W17">
        <v>1</v>
      </c>
      <c r="X17">
        <f t="shared" si="15"/>
        <v>6.8450055945683763E-2</v>
      </c>
      <c r="Y17">
        <f t="shared" si="7"/>
        <v>3.5210231636973899E-2</v>
      </c>
      <c r="Z17">
        <f t="shared" si="8"/>
        <v>1.7488598970530345E-2</v>
      </c>
      <c r="AA17">
        <f t="shared" si="9"/>
        <v>9.7372743579240417E-3</v>
      </c>
      <c r="AB17">
        <f t="shared" si="10"/>
        <v>6.2122892979384892E-3</v>
      </c>
    </row>
    <row r="18" spans="1:28" x14ac:dyDescent="0.3">
      <c r="A18">
        <f t="shared" si="16"/>
        <v>0.125</v>
      </c>
      <c r="B18">
        <f t="shared" si="0"/>
        <v>9.3229879265870515E-3</v>
      </c>
      <c r="C18">
        <f t="shared" si="0"/>
        <v>0.13078206154647226</v>
      </c>
      <c r="D18">
        <f t="shared" si="0"/>
        <v>0.34958193152534034</v>
      </c>
      <c r="E18">
        <f t="shared" si="0"/>
        <v>0.61061873086309337</v>
      </c>
      <c r="F18">
        <f t="shared" si="11"/>
        <v>0.88249690258459546</v>
      </c>
      <c r="H18">
        <f t="shared" si="17"/>
        <v>0.125</v>
      </c>
      <c r="I18">
        <f t="shared" si="12"/>
        <v>0.7916464958835161</v>
      </c>
      <c r="J18">
        <f t="shared" si="1"/>
        <v>0.55786141474693385</v>
      </c>
      <c r="K18">
        <f t="shared" si="2"/>
        <v>0.33947670973617627</v>
      </c>
      <c r="L18">
        <f t="shared" si="3"/>
        <v>0.20435174458104546</v>
      </c>
      <c r="M18">
        <f t="shared" si="13"/>
        <v>0.13353139262452263</v>
      </c>
      <c r="N18">
        <f t="shared" si="14"/>
        <v>0.13410305533574046</v>
      </c>
      <c r="O18">
        <f t="shared" si="4"/>
        <v>0.16302924212937212</v>
      </c>
      <c r="P18">
        <f t="shared" si="5"/>
        <v>0.33919967099482334</v>
      </c>
      <c r="Q18">
        <f t="shared" si="6"/>
        <v>1.2483607326126667</v>
      </c>
      <c r="R18" t="e">
        <v>#N/A</v>
      </c>
      <c r="S18" cm="1">
        <f t="array" ref="S18">GompMean(N18,0)/B$5</f>
        <v>0.25902499707067461</v>
      </c>
      <c r="T18" cm="1">
        <f t="array" ref="T18">GompMean(O18,0)/C$5</f>
        <v>0.53512305801581106</v>
      </c>
      <c r="U18" cm="1">
        <f t="array" ref="U18">GompMean(P18,0)/D$5</f>
        <v>0.77765409984257072</v>
      </c>
      <c r="V18" cm="1">
        <f t="array" ref="V18">GompMean(Q18,0)/E$5</f>
        <v>0.92395838232141758</v>
      </c>
      <c r="W18">
        <v>1</v>
      </c>
      <c r="X18">
        <f t="shared" si="15"/>
        <v>8.0662443665083128E-2</v>
      </c>
      <c r="Y18">
        <f t="shared" si="7"/>
        <v>4.3638586332598206E-2</v>
      </c>
      <c r="Z18">
        <f t="shared" si="8"/>
        <v>2.2510541618596225E-2</v>
      </c>
      <c r="AA18">
        <f t="shared" si="9"/>
        <v>1.2728638960344707E-2</v>
      </c>
      <c r="AB18">
        <f t="shared" si="10"/>
        <v>8.1600314535426044E-3</v>
      </c>
    </row>
    <row r="19" spans="1:28" x14ac:dyDescent="0.3">
      <c r="A19">
        <f t="shared" si="16"/>
        <v>0.140625</v>
      </c>
      <c r="B19">
        <f t="shared" si="0"/>
        <v>1.0381776550848034E-2</v>
      </c>
      <c r="C19">
        <f t="shared" si="0"/>
        <v>0.13690594790320423</v>
      </c>
      <c r="D19">
        <f t="shared" si="0"/>
        <v>0.35567091813727847</v>
      </c>
      <c r="E19">
        <f t="shared" si="0"/>
        <v>0.6095638454757355</v>
      </c>
      <c r="F19">
        <f t="shared" si="11"/>
        <v>0.86881505626284317</v>
      </c>
      <c r="H19">
        <f t="shared" si="17"/>
        <v>0.140625</v>
      </c>
      <c r="I19">
        <f t="shared" si="12"/>
        <v>0.80993292797997218</v>
      </c>
      <c r="J19">
        <f t="shared" si="1"/>
        <v>0.59206875550108595</v>
      </c>
      <c r="K19">
        <f t="shared" si="2"/>
        <v>0.37459506274712578</v>
      </c>
      <c r="L19">
        <f t="shared" si="3"/>
        <v>0.23023768192901464</v>
      </c>
      <c r="M19">
        <f t="shared" si="13"/>
        <v>0.15154989812720093</v>
      </c>
      <c r="N19">
        <f t="shared" si="14"/>
        <v>0.15212156083841874</v>
      </c>
      <c r="O19">
        <f t="shared" si="4"/>
        <v>0.18104774763205042</v>
      </c>
      <c r="P19">
        <f t="shared" si="5"/>
        <v>0.3572181764975017</v>
      </c>
      <c r="Q19">
        <f t="shared" si="6"/>
        <v>1.2663792381153451</v>
      </c>
      <c r="R19" t="e">
        <v>#N/A</v>
      </c>
      <c r="S19" cm="1">
        <f t="array" ref="S19">GompMean(N19,0)/B$5</f>
        <v>0.24527887697056788</v>
      </c>
      <c r="T19" cm="1">
        <f t="array" ref="T19">GompMean(O19,0)/C$5</f>
        <v>0.51032975281750048</v>
      </c>
      <c r="U19" cm="1">
        <f t="array" ref="U19">GompMean(P19,0)/D$5</f>
        <v>0.75635385932049726</v>
      </c>
      <c r="V19" cm="1">
        <f t="array" ref="V19">GompMean(Q19,0)/E$5</f>
        <v>0.91463650622693038</v>
      </c>
      <c r="W19">
        <v>1</v>
      </c>
      <c r="X19">
        <f t="shared" si="15"/>
        <v>9.3177355120629635E-2</v>
      </c>
      <c r="Y19">
        <f t="shared" si="7"/>
        <v>5.2626281913714879E-2</v>
      </c>
      <c r="Z19">
        <f t="shared" si="8"/>
        <v>2.8090770098136542E-2</v>
      </c>
      <c r="AA19">
        <f t="shared" si="9"/>
        <v>1.6123744553484753E-2</v>
      </c>
      <c r="AB19">
        <f t="shared" si="10"/>
        <v>1.0386806296936668E-2</v>
      </c>
    </row>
    <row r="20" spans="1:28" x14ac:dyDescent="0.3">
      <c r="A20">
        <f t="shared" si="16"/>
        <v>0.15625</v>
      </c>
      <c r="B20">
        <f t="shared" si="0"/>
        <v>1.1560606774381305E-2</v>
      </c>
      <c r="C20">
        <f t="shared" si="0"/>
        <v>0.14330166864140004</v>
      </c>
      <c r="D20">
        <f t="shared" si="0"/>
        <v>0.36181740671587309</v>
      </c>
      <c r="E20">
        <f t="shared" si="0"/>
        <v>0.60845591583706038</v>
      </c>
      <c r="F20">
        <f t="shared" si="11"/>
        <v>0.85534532730742252</v>
      </c>
      <c r="H20">
        <f t="shared" si="17"/>
        <v>0.15625</v>
      </c>
      <c r="I20">
        <f t="shared" si="12"/>
        <v>0.82645152912861841</v>
      </c>
      <c r="J20">
        <f t="shared" si="1"/>
        <v>0.62356944199660602</v>
      </c>
      <c r="K20">
        <f t="shared" si="2"/>
        <v>0.40858246286652578</v>
      </c>
      <c r="L20">
        <f t="shared" si="3"/>
        <v>0.2562228287173991</v>
      </c>
      <c r="M20">
        <f t="shared" si="13"/>
        <v>0.16989903679539747</v>
      </c>
      <c r="N20">
        <f t="shared" si="14"/>
        <v>0.17047069950661548</v>
      </c>
      <c r="O20">
        <f t="shared" si="4"/>
        <v>0.19939688630024696</v>
      </c>
      <c r="P20">
        <f t="shared" si="5"/>
        <v>0.37556731516569825</v>
      </c>
      <c r="Q20">
        <f t="shared" si="6"/>
        <v>1.2847283767835416</v>
      </c>
      <c r="R20" t="e">
        <v>#N/A</v>
      </c>
      <c r="S20" cm="1">
        <f t="array" ref="S20">GompMean(N20,0)/B$5</f>
        <v>0.23314709234557163</v>
      </c>
      <c r="T20" cm="1">
        <f t="array" ref="T20">GompMean(O20,0)/C$5</f>
        <v>0.48798414389528955</v>
      </c>
      <c r="U20" cm="1">
        <f t="array" ref="U20">GompMean(P20,0)/D$5</f>
        <v>0.73605664919065661</v>
      </c>
      <c r="V20" cm="1">
        <f t="array" ref="V20">GompMean(Q20,0)/E$5</f>
        <v>0.9053486282466332</v>
      </c>
      <c r="W20">
        <v>1</v>
      </c>
      <c r="X20">
        <f t="shared" si="15"/>
        <v>0.10596366313115202</v>
      </c>
      <c r="Y20">
        <f t="shared" si="7"/>
        <v>6.2126661903713076E-2</v>
      </c>
      <c r="Z20">
        <f t="shared" si="8"/>
        <v>3.4210749201752377E-2</v>
      </c>
      <c r="AA20">
        <f t="shared" si="9"/>
        <v>1.9924083186597774E-2</v>
      </c>
      <c r="AB20">
        <f t="shared" si="10"/>
        <v>1.2897687703883443E-2</v>
      </c>
    </row>
    <row r="21" spans="1:28" x14ac:dyDescent="0.3">
      <c r="A21">
        <f t="shared" si="16"/>
        <v>0.171875</v>
      </c>
      <c r="B21">
        <f t="shared" si="0"/>
        <v>1.2873039829774576E-2</v>
      </c>
      <c r="C21">
        <f t="shared" si="0"/>
        <v>0.14997979455884097</v>
      </c>
      <c r="D21">
        <f t="shared" si="0"/>
        <v>0.36801957680432751</v>
      </c>
      <c r="E21">
        <f t="shared" si="0"/>
        <v>0.60729476224392387</v>
      </c>
      <c r="F21">
        <f t="shared" si="11"/>
        <v>0.84208442714338239</v>
      </c>
      <c r="H21">
        <f t="shared" si="17"/>
        <v>0.171875</v>
      </c>
      <c r="I21">
        <f t="shared" si="12"/>
        <v>0.84154304000216096</v>
      </c>
      <c r="J21">
        <f t="shared" si="1"/>
        <v>0.65280869023763699</v>
      </c>
      <c r="K21">
        <f t="shared" si="2"/>
        <v>0.4415388470454904</v>
      </c>
      <c r="L21">
        <f t="shared" si="3"/>
        <v>0.28231486292878127</v>
      </c>
      <c r="M21">
        <f t="shared" si="13"/>
        <v>0.18859116980755003</v>
      </c>
      <c r="N21">
        <f t="shared" si="14"/>
        <v>0.18916283251876784</v>
      </c>
      <c r="O21">
        <f t="shared" si="4"/>
        <v>0.21808901931239955</v>
      </c>
      <c r="P21">
        <f t="shared" si="5"/>
        <v>0.3942594481778508</v>
      </c>
      <c r="Q21">
        <f t="shared" si="6"/>
        <v>1.3034205097956941</v>
      </c>
      <c r="R21" t="e">
        <v>#N/A</v>
      </c>
      <c r="S21" cm="1">
        <f t="array" ref="S21">GompMean(N21,0)/B$5</f>
        <v>0.22231018545280068</v>
      </c>
      <c r="T21" cm="1">
        <f t="array" ref="T21">GompMean(O21,0)/C$5</f>
        <v>0.46767304185408881</v>
      </c>
      <c r="U21" cm="1">
        <f t="array" ref="U21">GompMean(P21,0)/D$5</f>
        <v>0.71667566877053746</v>
      </c>
      <c r="V21" cm="1">
        <f t="array" ref="V21">GompMean(Q21,0)/E$5</f>
        <v>0.89609266660808884</v>
      </c>
      <c r="W21">
        <v>1</v>
      </c>
      <c r="X21">
        <f t="shared" si="15"/>
        <v>0.11899654767010981</v>
      </c>
      <c r="Y21">
        <f t="shared" si="7"/>
        <v>7.2101065611539616E-2</v>
      </c>
      <c r="Z21">
        <f t="shared" si="8"/>
        <v>4.0853604089852058E-2</v>
      </c>
      <c r="AA21">
        <f t="shared" si="9"/>
        <v>2.4131264602279434E-2</v>
      </c>
      <c r="AB21">
        <f t="shared" si="10"/>
        <v>1.569793750312265E-2</v>
      </c>
    </row>
    <row r="22" spans="1:28" x14ac:dyDescent="0.3">
      <c r="A22">
        <f t="shared" si="16"/>
        <v>0.1875</v>
      </c>
      <c r="B22">
        <f t="shared" si="0"/>
        <v>1.4334157277258163E-2</v>
      </c>
      <c r="C22">
        <f t="shared" si="0"/>
        <v>0.15695115324887787</v>
      </c>
      <c r="D22">
        <f t="shared" si="0"/>
        <v>0.37427546783776217</v>
      </c>
      <c r="E22">
        <f t="shared" si="0"/>
        <v>0.60608021837540349</v>
      </c>
      <c r="F22">
        <f t="shared" si="11"/>
        <v>0.82902911818040037</v>
      </c>
      <c r="H22">
        <f t="shared" si="17"/>
        <v>0.1875</v>
      </c>
      <c r="I22">
        <f t="shared" si="12"/>
        <v>0.85545953940110553</v>
      </c>
      <c r="J22">
        <f t="shared" si="1"/>
        <v>0.68013235248804904</v>
      </c>
      <c r="K22">
        <f t="shared" si="2"/>
        <v>0.47355315394853198</v>
      </c>
      <c r="L22">
        <f t="shared" si="3"/>
        <v>0.30852177354914584</v>
      </c>
      <c r="M22">
        <f t="shared" si="13"/>
        <v>0.20763936477824449</v>
      </c>
      <c r="N22">
        <f t="shared" si="14"/>
        <v>0.20821102748946221</v>
      </c>
      <c r="O22">
        <f t="shared" si="4"/>
        <v>0.23713721428309401</v>
      </c>
      <c r="P22">
        <f t="shared" si="5"/>
        <v>0.41330764314854523</v>
      </c>
      <c r="Q22">
        <f t="shared" si="6"/>
        <v>1.3224687047663888</v>
      </c>
      <c r="R22" t="e">
        <v>#N/A</v>
      </c>
      <c r="S22" cm="1">
        <f t="array" ref="S22">GompMean(N22,0)/B$5</f>
        <v>0.21253335470700532</v>
      </c>
      <c r="T22" cm="1">
        <f t="array" ref="T22">GompMean(O22,0)/C$5</f>
        <v>0.44907753214856916</v>
      </c>
      <c r="U22" cm="1">
        <f t="array" ref="U22">GompMean(P22,0)/D$5</f>
        <v>0.69813431296208361</v>
      </c>
      <c r="V22" cm="1">
        <f t="array" ref="V22">GompMean(Q22,0)/E$5</f>
        <v>0.88686650840857251</v>
      </c>
      <c r="W22">
        <v>1</v>
      </c>
      <c r="X22">
        <f t="shared" si="15"/>
        <v>0.13225577353715989</v>
      </c>
      <c r="Y22">
        <f t="shared" si="7"/>
        <v>8.2516968732747831E-2</v>
      </c>
      <c r="Z22">
        <f t="shared" si="8"/>
        <v>4.8003933135124743E-2</v>
      </c>
      <c r="AA22">
        <f t="shared" si="9"/>
        <v>2.8747020909353771E-2</v>
      </c>
      <c r="AB22">
        <f t="shared" si="10"/>
        <v>1.8793016117676364E-2</v>
      </c>
    </row>
    <row r="23" spans="1:28" x14ac:dyDescent="0.3">
      <c r="A23">
        <f t="shared" si="16"/>
        <v>0.203125</v>
      </c>
      <c r="B23">
        <f t="shared" si="0"/>
        <v>1.596072862682793E-2</v>
      </c>
      <c r="C23">
        <f t="shared" si="0"/>
        <v>0.16422681778049075</v>
      </c>
      <c r="D23">
        <f t="shared" si="0"/>
        <v>0.38058297431525828</v>
      </c>
      <c r="E23">
        <f t="shared" si="0"/>
        <v>0.60481213157624414</v>
      </c>
      <c r="F23">
        <f t="shared" si="11"/>
        <v>0.81617621302233978</v>
      </c>
      <c r="H23">
        <f t="shared" si="17"/>
        <v>0.203125</v>
      </c>
      <c r="I23">
        <f t="shared" si="12"/>
        <v>0.86839283779469034</v>
      </c>
      <c r="J23">
        <f t="shared" si="1"/>
        <v>0.7058145798656662</v>
      </c>
      <c r="K23">
        <f t="shared" si="2"/>
        <v>0.50470498151575749</v>
      </c>
      <c r="L23">
        <f t="shared" si="3"/>
        <v>0.33485188620459616</v>
      </c>
      <c r="M23">
        <f t="shared" si="13"/>
        <v>0.22705745063534608</v>
      </c>
      <c r="N23">
        <f t="shared" si="14"/>
        <v>0.2276291133465641</v>
      </c>
      <c r="O23">
        <f t="shared" si="4"/>
        <v>0.25655530014019567</v>
      </c>
      <c r="P23">
        <f t="shared" si="5"/>
        <v>0.43272572900564676</v>
      </c>
      <c r="Q23">
        <f t="shared" si="6"/>
        <v>1.3418867906234901</v>
      </c>
      <c r="R23" t="e">
        <v>#N/A</v>
      </c>
      <c r="S23" cm="1">
        <f t="array" ref="S23">GompMean(N23,0)/B$5</f>
        <v>0.2036391061403281</v>
      </c>
      <c r="T23" cm="1">
        <f t="array" ref="T23">GompMean(O23,0)/C$5</f>
        <v>0.4319464722694511</v>
      </c>
      <c r="U23" cm="1">
        <f t="array" ref="U23">GompMean(P23,0)/D$5</f>
        <v>0.68036463485984267</v>
      </c>
      <c r="V23" cm="1">
        <f t="array" ref="V23">GompMean(Q23,0)/E$5</f>
        <v>0.87766800507105935</v>
      </c>
      <c r="W23">
        <v>1</v>
      </c>
      <c r="X23">
        <f t="shared" si="15"/>
        <v>0.14572454467678209</v>
      </c>
      <c r="Y23">
        <f t="shared" si="7"/>
        <v>9.3346661579828405E-2</v>
      </c>
      <c r="Z23">
        <f t="shared" si="8"/>
        <v>5.5647649450693559E-2</v>
      </c>
      <c r="AA23">
        <f t="shared" si="9"/>
        <v>3.3773211639712142E-2</v>
      </c>
      <c r="AB23">
        <f t="shared" si="10"/>
        <v>2.2188594024958652E-2</v>
      </c>
    </row>
    <row r="24" spans="1:28" x14ac:dyDescent="0.3">
      <c r="A24">
        <f t="shared" si="16"/>
        <v>0.21875</v>
      </c>
      <c r="B24">
        <f t="shared" si="0"/>
        <v>1.7771396758534817E-2</v>
      </c>
      <c r="C24">
        <f t="shared" si="0"/>
        <v>0.17181809277208715</v>
      </c>
      <c r="D24">
        <f t="shared" si="0"/>
        <v>0.38693984094970801</v>
      </c>
      <c r="E24">
        <f t="shared" si="0"/>
        <v>0.60349036313845072</v>
      </c>
      <c r="F24">
        <f t="shared" si="11"/>
        <v>0.80352257368906077</v>
      </c>
      <c r="H24">
        <f t="shared" si="17"/>
        <v>0.21875</v>
      </c>
      <c r="I24">
        <f t="shared" si="12"/>
        <v>0.88049234834650369</v>
      </c>
      <c r="J24">
        <f t="shared" si="1"/>
        <v>0.73007649230937022</v>
      </c>
      <c r="K24">
        <f t="shared" si="2"/>
        <v>0.5350659526080962</v>
      </c>
      <c r="L24">
        <f t="shared" si="3"/>
        <v>0.36131389113098938</v>
      </c>
      <c r="M24">
        <f t="shared" si="13"/>
        <v>0.24686007793152578</v>
      </c>
      <c r="N24">
        <f t="shared" si="14"/>
        <v>0.24743174064274376</v>
      </c>
      <c r="O24">
        <f t="shared" si="4"/>
        <v>0.27635792743637533</v>
      </c>
      <c r="P24">
        <f t="shared" si="5"/>
        <v>0.45252835630182642</v>
      </c>
      <c r="Q24">
        <f t="shared" si="6"/>
        <v>1.3616894179196701</v>
      </c>
      <c r="R24" t="e">
        <v>#N/A</v>
      </c>
      <c r="S24" cm="1">
        <f t="array" ref="S24">GompMean(N24,0)/B$5</f>
        <v>0.19549009987585833</v>
      </c>
      <c r="T24" cm="1">
        <f t="array" ref="T24">GompMean(O24,0)/C$5</f>
        <v>0.41607866447834402</v>
      </c>
      <c r="U24" cm="1">
        <f t="array" ref="U24">GompMean(P24,0)/D$5</f>
        <v>0.66330608457948392</v>
      </c>
      <c r="V24" cm="1">
        <f t="array" ref="V24">GompMean(Q24,0)/E$5</f>
        <v>0.86849496746278765</v>
      </c>
      <c r="W24">
        <v>1</v>
      </c>
      <c r="X24">
        <f t="shared" si="15"/>
        <v>0.1593887123262796</v>
      </c>
      <c r="Y24">
        <f t="shared" si="7"/>
        <v>0.10456628375959831</v>
      </c>
      <c r="Z24">
        <f t="shared" si="8"/>
        <v>6.3771845947202976E-2</v>
      </c>
      <c r="AA24">
        <f t="shared" si="9"/>
        <v>3.9211829223611772E-2</v>
      </c>
      <c r="AB24">
        <f t="shared" si="10"/>
        <v>2.5890564115995551E-2</v>
      </c>
    </row>
    <row r="25" spans="1:28" x14ac:dyDescent="0.3">
      <c r="A25">
        <f t="shared" si="16"/>
        <v>0.234375</v>
      </c>
      <c r="B25">
        <f t="shared" si="0"/>
        <v>1.9786882863269083E-2</v>
      </c>
      <c r="C25">
        <f t="shared" si="0"/>
        <v>0.17973649757626056</v>
      </c>
      <c r="D25">
        <f t="shared" si="0"/>
        <v>0.39334365780652869</v>
      </c>
      <c r="E25">
        <f t="shared" si="0"/>
        <v>0.60211478858078304</v>
      </c>
      <c r="F25">
        <f t="shared" si="11"/>
        <v>0.79106511085029596</v>
      </c>
      <c r="H25">
        <f t="shared" si="17"/>
        <v>0.234375</v>
      </c>
      <c r="I25">
        <f t="shared" si="12"/>
        <v>0.89187679431175215</v>
      </c>
      <c r="J25">
        <f t="shared" si="1"/>
        <v>0.75309915186344334</v>
      </c>
      <c r="K25">
        <f t="shared" si="2"/>
        <v>0.56470084928706765</v>
      </c>
      <c r="L25">
        <f t="shared" si="3"/>
        <v>0.38791687375361422</v>
      </c>
      <c r="M25">
        <f t="shared" si="13"/>
        <v>0.26706278524904525</v>
      </c>
      <c r="N25">
        <f t="shared" si="14"/>
        <v>0.26763444796026326</v>
      </c>
      <c r="O25">
        <f t="shared" si="4"/>
        <v>0.29656063475389483</v>
      </c>
      <c r="P25">
        <f t="shared" si="5"/>
        <v>0.47273106361934597</v>
      </c>
      <c r="Q25">
        <f t="shared" si="6"/>
        <v>1.3818921252371894</v>
      </c>
      <c r="R25" t="e">
        <v>#N/A</v>
      </c>
      <c r="S25" cm="1">
        <f t="array" ref="S25">GompMean(N25,0)/B$5</f>
        <v>0.18797795158737174</v>
      </c>
      <c r="T25" cm="1">
        <f t="array" ref="T25">GompMean(O25,0)/C$5</f>
        <v>0.40131050975758464</v>
      </c>
      <c r="U25" cm="1">
        <f t="array" ref="U25">GompMean(P25,0)/D$5</f>
        <v>0.64690446682475622</v>
      </c>
      <c r="V25" cm="1">
        <f t="array" ref="V25">GompMean(Q25,0)/E$5</f>
        <v>0.85934516063394017</v>
      </c>
      <c r="W25">
        <v>1</v>
      </c>
      <c r="X25">
        <f t="shared" si="15"/>
        <v>0.17323621017098323</v>
      </c>
      <c r="Y25">
        <f t="shared" si="7"/>
        <v>0.1161551028214004</v>
      </c>
      <c r="Z25">
        <f t="shared" si="8"/>
        <v>7.2364679851884883E-2</v>
      </c>
      <c r="AA25">
        <f t="shared" si="9"/>
        <v>4.5065004922028584E-2</v>
      </c>
      <c r="AB25">
        <f t="shared" si="10"/>
        <v>2.990505504369978E-2</v>
      </c>
    </row>
    <row r="26" spans="1:28" x14ac:dyDescent="0.3">
      <c r="A26">
        <f t="shared" si="16"/>
        <v>0.25</v>
      </c>
      <c r="B26">
        <f t="shared" si="0"/>
        <v>2.2030212750637861E-2</v>
      </c>
      <c r="C26">
        <f t="shared" si="0"/>
        <v>0.18799374627052889</v>
      </c>
      <c r="D26">
        <f t="shared" si="0"/>
        <v>0.39979185544328388</v>
      </c>
      <c r="E26">
        <f t="shared" si="0"/>
        <v>0.60068529792590297</v>
      </c>
      <c r="F26">
        <f t="shared" si="11"/>
        <v>0.77880078307140488</v>
      </c>
      <c r="H26">
        <f t="shared" si="17"/>
        <v>0.25</v>
      </c>
      <c r="I26">
        <f t="shared" si="12"/>
        <v>0.90264214055732039</v>
      </c>
      <c r="J26">
        <f t="shared" si="1"/>
        <v>0.77503280677617015</v>
      </c>
      <c r="K26">
        <f t="shared" si="2"/>
        <v>0.59366856224010978</v>
      </c>
      <c r="L26">
        <f t="shared" si="3"/>
        <v>0.41467034819266763</v>
      </c>
      <c r="M26">
        <f t="shared" si="13"/>
        <v>0.2876820724517809</v>
      </c>
      <c r="N26">
        <f t="shared" si="14"/>
        <v>0.28825373516299879</v>
      </c>
      <c r="O26">
        <f t="shared" si="4"/>
        <v>0.31717992195663042</v>
      </c>
      <c r="P26">
        <f t="shared" si="5"/>
        <v>0.49335035082208167</v>
      </c>
      <c r="Q26">
        <f t="shared" si="6"/>
        <v>1.4025114124399249</v>
      </c>
      <c r="R26" t="e">
        <v>#N/A</v>
      </c>
      <c r="S26" cm="1">
        <f t="array" ref="S26">GompMean(N26,0)/B$5</f>
        <v>0.18101567193565626</v>
      </c>
      <c r="T26" cm="1">
        <f t="array" ref="T26">GompMean(O26,0)/C$5</f>
        <v>0.38750724055465902</v>
      </c>
      <c r="U26" cm="1">
        <f t="array" ref="U26">GompMean(P26,0)/D$5</f>
        <v>0.63111107315520087</v>
      </c>
      <c r="V26" cm="1">
        <f t="array" ref="V26">GompMean(Q26,0)/E$5</f>
        <v>0.85021629812837596</v>
      </c>
      <c r="W26">
        <v>1</v>
      </c>
      <c r="X26">
        <f t="shared" si="15"/>
        <v>0.18725664063026759</v>
      </c>
      <c r="Y26">
        <f t="shared" si="7"/>
        <v>0.12809496450187807</v>
      </c>
      <c r="Z26">
        <f t="shared" si="8"/>
        <v>8.1415273453516956E-2</v>
      </c>
      <c r="AA26">
        <f t="shared" si="9"/>
        <v>5.1335015259217354E-2</v>
      </c>
      <c r="AB26">
        <f t="shared" si="10"/>
        <v>3.4238445661164407E-2</v>
      </c>
    </row>
    <row r="27" spans="1:28" x14ac:dyDescent="0.3">
      <c r="A27">
        <f t="shared" si="16"/>
        <v>0.265625</v>
      </c>
      <c r="B27">
        <f t="shared" si="0"/>
        <v>2.4526966492092926E-2</v>
      </c>
      <c r="C27">
        <f t="shared" si="0"/>
        <v>0.19660172412593271</v>
      </c>
      <c r="D27">
        <f t="shared" si="0"/>
        <v>0.40628170006328157</v>
      </c>
      <c r="E27">
        <f t="shared" si="0"/>
        <v>0.59920179597491219</v>
      </c>
      <c r="F27">
        <f t="shared" si="11"/>
        <v>0.76672659607082005</v>
      </c>
      <c r="H27">
        <f t="shared" si="17"/>
        <v>0.265625</v>
      </c>
      <c r="I27">
        <f t="shared" si="12"/>
        <v>0.91286712300702244</v>
      </c>
      <c r="J27">
        <f t="shared" si="1"/>
        <v>0.79600362423430848</v>
      </c>
      <c r="K27">
        <f t="shared" si="2"/>
        <v>0.62202289144264367</v>
      </c>
      <c r="L27">
        <f t="shared" si="3"/>
        <v>0.44158429405523403</v>
      </c>
      <c r="M27">
        <f t="shared" si="13"/>
        <v>0.30873548164961329</v>
      </c>
      <c r="N27">
        <f t="shared" si="14"/>
        <v>0.30930714436083101</v>
      </c>
      <c r="O27">
        <f t="shared" si="4"/>
        <v>0.33823333115446286</v>
      </c>
      <c r="P27">
        <f t="shared" si="5"/>
        <v>0.51440376001991406</v>
      </c>
      <c r="Q27">
        <f t="shared" si="6"/>
        <v>1.4235648216377574</v>
      </c>
      <c r="R27" t="e">
        <v>#N/A</v>
      </c>
      <c r="S27" cm="1">
        <f t="array" ref="S27">GompMean(N27,0)/B$5</f>
        <v>0.1745324140792118</v>
      </c>
      <c r="T27" cm="1">
        <f t="array" ref="T27">GompMean(O27,0)/C$5</f>
        <v>0.37455655749464023</v>
      </c>
      <c r="U27" cm="1">
        <f t="array" ref="U27">GompMean(P27,0)/D$5</f>
        <v>0.61588195488442576</v>
      </c>
      <c r="V27" cm="1">
        <f t="array" ref="V27">GompMean(Q27,0)/E$5</f>
        <v>0.84110603581171839</v>
      </c>
      <c r="W27">
        <v>1</v>
      </c>
      <c r="X27">
        <f t="shared" si="15"/>
        <v>0.2014409649522968</v>
      </c>
      <c r="Y27">
        <f t="shared" si="7"/>
        <v>0.14036986654280326</v>
      </c>
      <c r="Z27">
        <f t="shared" si="8"/>
        <v>9.0913628478558439E-2</v>
      </c>
      <c r="AA27">
        <f t="shared" si="9"/>
        <v>5.8024289003956731E-2</v>
      </c>
      <c r="AB27">
        <f t="shared" si="10"/>
        <v>3.8897380663565295E-2</v>
      </c>
    </row>
    <row r="28" spans="1:28" x14ac:dyDescent="0.3">
      <c r="A28">
        <f t="shared" si="16"/>
        <v>0.28125</v>
      </c>
      <c r="B28">
        <f t="shared" si="0"/>
        <v>2.730555348209519E-2</v>
      </c>
      <c r="C28">
        <f t="shared" si="0"/>
        <v>0.20557246020138112</v>
      </c>
      <c r="D28">
        <f t="shared" si="0"/>
        <v>0.4128102886972988</v>
      </c>
      <c r="E28">
        <f t="shared" si="0"/>
        <v>0.59766420257902075</v>
      </c>
      <c r="F28">
        <f t="shared" si="11"/>
        <v>0.75483960198900735</v>
      </c>
      <c r="H28">
        <f t="shared" si="17"/>
        <v>0.28125</v>
      </c>
      <c r="I28">
        <f t="shared" si="12"/>
        <v>0.92261719993513025</v>
      </c>
      <c r="J28">
        <f t="shared" si="1"/>
        <v>0.8161186895709297</v>
      </c>
      <c r="K28">
        <f t="shared" si="2"/>
        <v>0.64981322633452532</v>
      </c>
      <c r="L28">
        <f t="shared" si="3"/>
        <v>0.46866919692700387</v>
      </c>
      <c r="M28">
        <f t="shared" si="13"/>
        <v>0.33024168687057687</v>
      </c>
      <c r="N28">
        <f t="shared" si="14"/>
        <v>0.33081334958179454</v>
      </c>
      <c r="O28">
        <f t="shared" si="4"/>
        <v>0.35973953637542633</v>
      </c>
      <c r="P28">
        <f t="shared" si="5"/>
        <v>0.53590996524087764</v>
      </c>
      <c r="Q28">
        <f t="shared" si="6"/>
        <v>1.4450710268587212</v>
      </c>
      <c r="R28" t="e">
        <v>#N/A</v>
      </c>
      <c r="S28" cm="1">
        <f t="array" ref="S28">GompMean(N28,0)/B$5</f>
        <v>0.16846973356425821</v>
      </c>
      <c r="T28" cm="1">
        <f t="array" ref="T28">GompMean(O28,0)/C$5</f>
        <v>0.36236392141166351</v>
      </c>
      <c r="U28" cm="1">
        <f t="array" ref="U28">GompMean(P28,0)/D$5</f>
        <v>0.60117731000808294</v>
      </c>
      <c r="V28" cm="1">
        <f t="array" ref="V28">GompMean(Q28,0)/E$5</f>
        <v>0.83201196515434084</v>
      </c>
      <c r="W28">
        <v>1</v>
      </c>
      <c r="X28">
        <f t="shared" si="15"/>
        <v>0.21578126654731455</v>
      </c>
      <c r="Y28">
        <f t="shared" si="7"/>
        <v>0.15296562335626107</v>
      </c>
      <c r="Z28">
        <f t="shared" si="8"/>
        <v>0.10085055200375026</v>
      </c>
      <c r="AA28">
        <f t="shared" si="9"/>
        <v>6.5135414754033505E-2</v>
      </c>
      <c r="AB28">
        <f t="shared" si="10"/>
        <v>4.3888787561772835E-2</v>
      </c>
    </row>
    <row r="29" spans="1:28" x14ac:dyDescent="0.3">
      <c r="A29">
        <f t="shared" si="16"/>
        <v>0.296875</v>
      </c>
      <c r="B29">
        <f t="shared" si="0"/>
        <v>3.0397515102219618E-2</v>
      </c>
      <c r="C29">
        <f t="shared" si="0"/>
        <v>0.21491809568692494</v>
      </c>
      <c r="D29">
        <f t="shared" si="0"/>
        <v>0.41937454442869648</v>
      </c>
      <c r="E29">
        <f t="shared" si="0"/>
        <v>0.59607245290807798</v>
      </c>
      <c r="F29">
        <f t="shared" si="11"/>
        <v>0.74313689866875832</v>
      </c>
      <c r="H29">
        <f t="shared" si="17"/>
        <v>0.296875</v>
      </c>
      <c r="I29">
        <f t="shared" si="12"/>
        <v>0.93194743715253547</v>
      </c>
      <c r="J29">
        <f t="shared" si="1"/>
        <v>0.83546978260959637</v>
      </c>
      <c r="K29">
        <f t="shared" si="2"/>
        <v>0.67708512787393094</v>
      </c>
      <c r="L29">
        <f t="shared" si="3"/>
        <v>0.49593609303848568</v>
      </c>
      <c r="M29">
        <f t="shared" si="13"/>
        <v>0.35222059358935209</v>
      </c>
      <c r="N29">
        <f t="shared" si="14"/>
        <v>0.35279225630056965</v>
      </c>
      <c r="O29">
        <f t="shared" si="4"/>
        <v>0.38171844309420166</v>
      </c>
      <c r="P29">
        <f t="shared" si="5"/>
        <v>0.55788887195965275</v>
      </c>
      <c r="Q29">
        <f t="shared" si="6"/>
        <v>1.4670499335774962</v>
      </c>
      <c r="R29" t="e">
        <v>#N/A</v>
      </c>
      <c r="S29" cm="1">
        <f t="array" ref="S29">GompMean(N29,0)/B$5</f>
        <v>0.16277886726560462</v>
      </c>
      <c r="T29" cm="1">
        <f t="array" ref="T29">GompMean(O29,0)/C$5</f>
        <v>0.3508490103352005</v>
      </c>
      <c r="U29" cm="1">
        <f t="array" ref="U29">GompMean(P29,0)/D$5</f>
        <v>0.58696096321371283</v>
      </c>
      <c r="V29" cm="1">
        <f t="array" ref="V29">GompMean(Q29,0)/E$5</f>
        <v>0.82293160589794589</v>
      </c>
      <c r="W29">
        <v>1</v>
      </c>
      <c r="X29">
        <f t="shared" si="15"/>
        <v>0.23027056720599526</v>
      </c>
      <c r="Y29">
        <f t="shared" si="7"/>
        <v>0.16586959871068963</v>
      </c>
      <c r="Z29">
        <f t="shared" si="8"/>
        <v>0.11121759220400051</v>
      </c>
      <c r="AA29">
        <f t="shared" si="9"/>
        <v>7.2671149185321471E-2</v>
      </c>
      <c r="AB29">
        <f t="shared" si="10"/>
        <v>4.9219895132486813E-2</v>
      </c>
    </row>
    <row r="30" spans="1:28" x14ac:dyDescent="0.3">
      <c r="A30">
        <f t="shared" si="16"/>
        <v>0.3125</v>
      </c>
      <c r="B30">
        <f t="shared" ref="B30:E49" si="18">B$5*B$4*EXP(B$5*$A30-B$4*(EXP(B$5*$A30)-1))</f>
        <v>3.3837857255412482E-2</v>
      </c>
      <c r="C30">
        <f t="shared" si="18"/>
        <v>0.22465084759387216</v>
      </c>
      <c r="D30">
        <f t="shared" si="18"/>
        <v>0.42597121167836011</v>
      </c>
      <c r="E30">
        <f t="shared" si="18"/>
        <v>0.59442649771569478</v>
      </c>
      <c r="F30">
        <f t="shared" si="11"/>
        <v>0.73161562894664178</v>
      </c>
      <c r="H30">
        <f t="shared" si="17"/>
        <v>0.3125</v>
      </c>
      <c r="I30">
        <f t="shared" si="12"/>
        <v>0.94090465528950129</v>
      </c>
      <c r="J30">
        <f t="shared" si="1"/>
        <v>0.85413627464968134</v>
      </c>
      <c r="K30">
        <f t="shared" si="2"/>
        <v>0.70388083031649273</v>
      </c>
      <c r="L30">
        <f t="shared" si="3"/>
        <v>0.5233966186527873</v>
      </c>
      <c r="M30">
        <f t="shared" si="13"/>
        <v>0.3746934494414107</v>
      </c>
      <c r="N30">
        <f t="shared" si="14"/>
        <v>0.37526511215262826</v>
      </c>
      <c r="O30">
        <f t="shared" si="4"/>
        <v>0.40419129894626016</v>
      </c>
      <c r="P30">
        <f t="shared" si="5"/>
        <v>0.58036172781171136</v>
      </c>
      <c r="Q30">
        <f t="shared" si="6"/>
        <v>1.4895227894295548</v>
      </c>
      <c r="R30" t="e">
        <v>#N/A</v>
      </c>
      <c r="S30" cm="1">
        <f t="array" ref="S30">GompMean(N30,0)/B$5</f>
        <v>0.15741871592179324</v>
      </c>
      <c r="T30" cm="1">
        <f t="array" ref="T30">GompMean(O30,0)/C$5</f>
        <v>0.33994301235269841</v>
      </c>
      <c r="U30" cm="1">
        <f t="array" ref="U30">GompMean(P30,0)/D$5</f>
        <v>0.57319992234249417</v>
      </c>
      <c r="V30" cm="1">
        <f t="array" ref="V30">GompMean(Q30,0)/E$5</f>
        <v>0.81386239802368321</v>
      </c>
      <c r="W30">
        <v>1</v>
      </c>
      <c r="X30">
        <f t="shared" si="15"/>
        <v>0.244902682292235</v>
      </c>
      <c r="Y30">
        <f t="shared" si="7"/>
        <v>0.17907049018586396</v>
      </c>
      <c r="Z30">
        <f t="shared" si="8"/>
        <v>0.12200698254694653</v>
      </c>
      <c r="AA30">
        <f t="shared" si="9"/>
        <v>8.0634426034926543E-2</v>
      </c>
      <c r="AB30">
        <f t="shared" si="10"/>
        <v>5.4898253509030104E-2</v>
      </c>
    </row>
    <row r="31" spans="1:28" x14ac:dyDescent="0.3">
      <c r="A31">
        <f t="shared" si="16"/>
        <v>0.328125</v>
      </c>
      <c r="B31">
        <f t="shared" si="18"/>
        <v>3.7665415090673567E-2</v>
      </c>
      <c r="C31">
        <f t="shared" si="18"/>
        <v>0.23478296736404988</v>
      </c>
      <c r="D31">
        <f t="shared" si="18"/>
        <v>0.43259685156710292</v>
      </c>
      <c r="E31">
        <f t="shared" si="18"/>
        <v>0.59272630360067657</v>
      </c>
      <c r="F31">
        <f t="shared" si="11"/>
        <v>0.72027297995543982</v>
      </c>
      <c r="H31">
        <f t="shared" si="17"/>
        <v>0.328125</v>
      </c>
      <c r="I31">
        <f t="shared" si="12"/>
        <v>0.94952905531938969</v>
      </c>
      <c r="J31">
        <f t="shared" si="1"/>
        <v>0.87218738221544789</v>
      </c>
      <c r="K31">
        <f t="shared" si="2"/>
        <v>0.73023967709494109</v>
      </c>
      <c r="L31">
        <f t="shared" si="3"/>
        <v>0.55106306480732126</v>
      </c>
      <c r="M31">
        <f t="shared" si="13"/>
        <v>0.39768296766610944</v>
      </c>
      <c r="N31">
        <f t="shared" si="14"/>
        <v>0.39825463037732689</v>
      </c>
      <c r="O31">
        <f t="shared" si="4"/>
        <v>0.4271808171709589</v>
      </c>
      <c r="P31">
        <f t="shared" si="5"/>
        <v>0.60335124603641022</v>
      </c>
      <c r="Q31">
        <f t="shared" si="6"/>
        <v>1.5125123076542535</v>
      </c>
      <c r="R31" t="e">
        <v>#N/A</v>
      </c>
      <c r="S31" cm="1">
        <f t="array" ref="S31">GompMean(N31,0)/B$5</f>
        <v>0.15235432301310223</v>
      </c>
      <c r="T31" cm="1">
        <f t="array" ref="T31">GompMean(O31,0)/C$5</f>
        <v>0.32958652868563532</v>
      </c>
      <c r="U31" cm="1">
        <f t="array" ref="U31">GompMean(P31,0)/D$5</f>
        <v>0.55986399799912601</v>
      </c>
      <c r="V31" cm="1">
        <f t="array" ref="V31">GompMean(Q31,0)/E$5</f>
        <v>0.80480169292746806</v>
      </c>
      <c r="W31">
        <v>1</v>
      </c>
      <c r="X31">
        <f t="shared" si="15"/>
        <v>0.25967210518285699</v>
      </c>
      <c r="Y31">
        <f t="shared" si="7"/>
        <v>0.19255815361333473</v>
      </c>
      <c r="Z31">
        <f t="shared" si="8"/>
        <v>0.13321159329617371</v>
      </c>
      <c r="AA31">
        <f t="shared" si="9"/>
        <v>8.9028365896938411E-2</v>
      </c>
      <c r="AB31">
        <f t="shared" si="10"/>
        <v>6.0931756099332657E-2</v>
      </c>
    </row>
    <row r="32" spans="1:28" x14ac:dyDescent="0.3">
      <c r="A32">
        <f t="shared" si="16"/>
        <v>0.34375</v>
      </c>
      <c r="B32">
        <f t="shared" si="18"/>
        <v>4.1923252250148445E-2</v>
      </c>
      <c r="C32">
        <f t="shared" si="18"/>
        <v>0.24532669394483123</v>
      </c>
      <c r="D32">
        <f t="shared" si="18"/>
        <v>0.43924783737442513</v>
      </c>
      <c r="E32">
        <f t="shared" si="18"/>
        <v>0.59097185326448998</v>
      </c>
      <c r="F32">
        <f t="shared" si="11"/>
        <v>0.70910618243739842</v>
      </c>
      <c r="H32">
        <f t="shared" si="17"/>
        <v>0.34375</v>
      </c>
      <c r="I32">
        <f t="shared" si="12"/>
        <v>0.95785546812307409</v>
      </c>
      <c r="J32">
        <f t="shared" si="1"/>
        <v>0.88968394306772469</v>
      </c>
      <c r="K32">
        <f t="shared" si="2"/>
        <v>0.75619850248721654</v>
      </c>
      <c r="L32">
        <f t="shared" si="3"/>
        <v>0.57894843814274388</v>
      </c>
      <c r="M32">
        <f t="shared" si="13"/>
        <v>0.42121346507630353</v>
      </c>
      <c r="N32">
        <f t="shared" si="14"/>
        <v>0.42178512778752114</v>
      </c>
      <c r="O32">
        <f t="shared" si="4"/>
        <v>0.4507113145811531</v>
      </c>
      <c r="P32">
        <f t="shared" si="5"/>
        <v>0.6268817434466043</v>
      </c>
      <c r="Q32">
        <f t="shared" si="6"/>
        <v>1.5360428050644477</v>
      </c>
      <c r="R32" t="e">
        <v>#N/A</v>
      </c>
      <c r="S32" cm="1">
        <f t="array" ref="S32">GompMean(N32,0)/B$5</f>
        <v>0.14755571052349917</v>
      </c>
      <c r="T32" cm="1">
        <f t="array" ref="T32">GompMean(O32,0)/C$5</f>
        <v>0.31972792920789639</v>
      </c>
      <c r="U32" cm="1">
        <f t="array" ref="U32">GompMean(P32,0)/D$5</f>
        <v>0.54692547558853044</v>
      </c>
      <c r="V32" cm="1">
        <f t="array" ref="V32">GompMean(Q32,0)/E$5</f>
        <v>0.79574674369337084</v>
      </c>
      <c r="W32">
        <v>1</v>
      </c>
      <c r="X32">
        <f t="shared" si="15"/>
        <v>0.27457391401318632</v>
      </c>
      <c r="Y32">
        <f t="shared" si="7"/>
        <v>0.20632345881912362</v>
      </c>
      <c r="Z32">
        <f t="shared" si="8"/>
        <v>0.14482488938779114</v>
      </c>
      <c r="AA32">
        <f t="shared" si="9"/>
        <v>9.7856286920049773E-2</v>
      </c>
      <c r="AB32">
        <f t="shared" si="10"/>
        <v>6.7328663543675837E-2</v>
      </c>
    </row>
    <row r="33" spans="1:28" x14ac:dyDescent="0.3">
      <c r="A33">
        <f t="shared" si="16"/>
        <v>0.359375</v>
      </c>
      <c r="B33">
        <f t="shared" si="18"/>
        <v>4.6659096925586847E-2</v>
      </c>
      <c r="C33">
        <f t="shared" si="18"/>
        <v>0.25629420085109322</v>
      </c>
      <c r="D33">
        <f t="shared" si="18"/>
        <v>0.44592035011380804</v>
      </c>
      <c r="E33">
        <f t="shared" si="18"/>
        <v>0.58916314576447204</v>
      </c>
      <c r="F33">
        <f t="shared" si="11"/>
        <v>0.6981125100681258</v>
      </c>
      <c r="H33">
        <f t="shared" si="17"/>
        <v>0.359375</v>
      </c>
      <c r="I33">
        <f t="shared" si="12"/>
        <v>0.96591432857107784</v>
      </c>
      <c r="J33">
        <f t="shared" si="1"/>
        <v>0.90667983254045881</v>
      </c>
      <c r="K33">
        <f t="shared" si="2"/>
        <v>0.78179196867164125</v>
      </c>
      <c r="L33">
        <f t="shared" si="3"/>
        <v>0.60706652867234745</v>
      </c>
      <c r="M33">
        <f t="shared" si="13"/>
        <v>0.44531101665536404</v>
      </c>
      <c r="N33">
        <f t="shared" si="14"/>
        <v>0.44588267936658205</v>
      </c>
      <c r="O33">
        <f t="shared" si="4"/>
        <v>0.47480886616021356</v>
      </c>
      <c r="P33">
        <f t="shared" si="5"/>
        <v>0.65097929502566476</v>
      </c>
      <c r="Q33">
        <f t="shared" si="6"/>
        <v>1.5601403566435084</v>
      </c>
      <c r="R33" t="e">
        <v>#N/A</v>
      </c>
      <c r="S33" cm="1">
        <f t="array" ref="S33">GompMean(N33,0)/B$5</f>
        <v>0.14299697572338815</v>
      </c>
      <c r="T33" cm="1">
        <f t="array" ref="T33">GompMean(O33,0)/C$5</f>
        <v>0.31032204815901543</v>
      </c>
      <c r="U33" cm="1">
        <f t="array" ref="U33">GompMean(P33,0)/D$5</f>
        <v>0.53435883107752802</v>
      </c>
      <c r="V33" cm="1">
        <f t="array" ref="V33">GompMean(Q33,0)/E$5</f>
        <v>0.78669469433851935</v>
      </c>
      <c r="W33">
        <v>1</v>
      </c>
      <c r="X33">
        <f t="shared" si="15"/>
        <v>0.28960369568635769</v>
      </c>
      <c r="Y33">
        <f t="shared" si="7"/>
        <v>0.22035817017689929</v>
      </c>
      <c r="Z33">
        <f t="shared" si="8"/>
        <v>0.15684089391068845</v>
      </c>
      <c r="AA33">
        <f t="shared" si="9"/>
        <v>0.10712171650866353</v>
      </c>
      <c r="AB33">
        <f t="shared" si="10"/>
        <v>7.4097629955157451E-2</v>
      </c>
    </row>
    <row r="34" spans="1:28" x14ac:dyDescent="0.3">
      <c r="A34">
        <f t="shared" si="16"/>
        <v>0.375</v>
      </c>
      <c r="B34">
        <f t="shared" si="18"/>
        <v>5.1925816889897392E-2</v>
      </c>
      <c r="C34">
        <f t="shared" si="18"/>
        <v>0.2676975367104597</v>
      </c>
      <c r="D34">
        <f t="shared" si="18"/>
        <v>0.45261037424605399</v>
      </c>
      <c r="E34">
        <f t="shared" si="18"/>
        <v>0.58730019676249479</v>
      </c>
      <c r="F34">
        <f t="shared" si="11"/>
        <v>0.68728927879097224</v>
      </c>
      <c r="H34">
        <f t="shared" si="17"/>
        <v>0.375</v>
      </c>
      <c r="I34">
        <f t="shared" si="12"/>
        <v>0.97373244471477005</v>
      </c>
      <c r="J34">
        <f t="shared" si="1"/>
        <v>0.92322310579362887</v>
      </c>
      <c r="K34">
        <f t="shared" si="2"/>
        <v>0.80705286613884708</v>
      </c>
      <c r="L34">
        <f t="shared" si="3"/>
        <v>0.63543198548814639</v>
      </c>
      <c r="M34">
        <f t="shared" si="13"/>
        <v>0.47000362924573558</v>
      </c>
      <c r="N34">
        <f t="shared" si="14"/>
        <v>0.47057529195695352</v>
      </c>
      <c r="O34">
        <f t="shared" si="4"/>
        <v>0.49950147875058504</v>
      </c>
      <c r="P34">
        <f t="shared" si="5"/>
        <v>0.67567190761603624</v>
      </c>
      <c r="Q34">
        <f t="shared" si="6"/>
        <v>1.5848329692338796</v>
      </c>
      <c r="R34" t="e">
        <v>#N/A</v>
      </c>
      <c r="S34" cm="1">
        <f t="array" ref="S34">GompMean(N34,0)/B$5</f>
        <v>0.13865558180528026</v>
      </c>
      <c r="T34" cm="1">
        <f t="array" ref="T34">GompMean(O34,0)/C$5</f>
        <v>0.30132913891788815</v>
      </c>
      <c r="U34" cm="1">
        <f t="array" ref="U34">GompMean(P34,0)/D$5</f>
        <v>0.52214048336909635</v>
      </c>
      <c r="V34" cm="1">
        <f t="array" ref="V34">GompMean(Q34,0)/E$5</f>
        <v>0.7776425678822797</v>
      </c>
      <c r="W34">
        <v>1</v>
      </c>
      <c r="X34">
        <f t="shared" si="15"/>
        <v>0.30475748342496856</v>
      </c>
      <c r="Y34">
        <f t="shared" si="7"/>
        <v>0.23465484705530193</v>
      </c>
      <c r="Z34">
        <f t="shared" si="8"/>
        <v>0.16925415655753528</v>
      </c>
      <c r="AA34">
        <f t="shared" si="9"/>
        <v>0.11682840414348372</v>
      </c>
      <c r="AB34">
        <f t="shared" si="10"/>
        <v>8.1247731721415195E-2</v>
      </c>
    </row>
    <row r="35" spans="1:28" x14ac:dyDescent="0.3">
      <c r="A35">
        <f t="shared" si="16"/>
        <v>0.390625</v>
      </c>
      <c r="B35">
        <f t="shared" si="18"/>
        <v>5.77819354476755E-2</v>
      </c>
      <c r="C35">
        <f t="shared" si="18"/>
        <v>0.2795485587644716</v>
      </c>
      <c r="D35">
        <f t="shared" si="18"/>
        <v>0.4593136935535444</v>
      </c>
      <c r="E35">
        <f t="shared" si="18"/>
        <v>0.58538303876878972</v>
      </c>
      <c r="F35">
        <f t="shared" si="11"/>
        <v>0.67663384616172895</v>
      </c>
      <c r="H35">
        <f t="shared" si="17"/>
        <v>0.390625</v>
      </c>
      <c r="I35">
        <f t="shared" si="12"/>
        <v>0.98133361255851626</v>
      </c>
      <c r="J35">
        <f t="shared" si="1"/>
        <v>0.93935692896553347</v>
      </c>
      <c r="K35">
        <f t="shared" si="2"/>
        <v>0.83201238416042744</v>
      </c>
      <c r="L35">
        <f t="shared" si="3"/>
        <v>0.66406040157115476</v>
      </c>
      <c r="M35">
        <f t="shared" si="13"/>
        <v>0.49532143723002542</v>
      </c>
      <c r="N35">
        <f t="shared" si="14"/>
        <v>0.49589309994124287</v>
      </c>
      <c r="O35">
        <f t="shared" si="4"/>
        <v>0.52481928673487488</v>
      </c>
      <c r="P35">
        <f t="shared" si="5"/>
        <v>0.70098971560032608</v>
      </c>
      <c r="Q35">
        <f t="shared" si="6"/>
        <v>1.6101507772181696</v>
      </c>
      <c r="R35" t="e">
        <v>#N/A</v>
      </c>
      <c r="S35" cm="1">
        <f t="array" ref="S35">GompMean(N35,0)/B$5</f>
        <v>0.13451179449065012</v>
      </c>
      <c r="T35" cm="1">
        <f t="array" ref="T35">GompMean(O35,0)/C$5</f>
        <v>0.29271402833755156</v>
      </c>
      <c r="U35" cm="1">
        <f t="array" ref="U35">GompMean(P35,0)/D$5</f>
        <v>0.51024857743504715</v>
      </c>
      <c r="V35" cm="1">
        <f t="array" ref="V35">GompMean(Q35,0)/E$5</f>
        <v>0.76858725306758058</v>
      </c>
      <c r="W35">
        <v>1</v>
      </c>
      <c r="X35">
        <f t="shared" si="15"/>
        <v>0.32003170507941425</v>
      </c>
      <c r="Y35">
        <f t="shared" si="7"/>
        <v>0.24920676039343259</v>
      </c>
      <c r="Z35">
        <f t="shared" si="8"/>
        <v>0.1820597265277577</v>
      </c>
      <c r="AA35">
        <f t="shared" si="9"/>
        <v>0.12698033545452059</v>
      </c>
      <c r="AB35">
        <f t="shared" si="10"/>
        <v>8.8788499187953285E-2</v>
      </c>
    </row>
    <row r="36" spans="1:28" x14ac:dyDescent="0.3">
      <c r="A36">
        <f t="shared" si="16"/>
        <v>0.40625</v>
      </c>
      <c r="B36">
        <f t="shared" si="18"/>
        <v>6.4292189895593127E-2</v>
      </c>
      <c r="C36">
        <f t="shared" si="18"/>
        <v>0.29185885877627488</v>
      </c>
      <c r="D36">
        <f t="shared" si="18"/>
        <v>0.4660258871996848</v>
      </c>
      <c r="E36">
        <f t="shared" si="18"/>
        <v>0.58341172138063135</v>
      </c>
      <c r="F36">
        <f t="shared" si="11"/>
        <v>0.66614361070348782</v>
      </c>
      <c r="H36">
        <f t="shared" si="17"/>
        <v>0.40625</v>
      </c>
      <c r="I36">
        <f t="shared" si="12"/>
        <v>0.98873911308574514</v>
      </c>
      <c r="J36">
        <f t="shared" si="1"/>
        <v>0.95512034622293263</v>
      </c>
      <c r="K36">
        <f t="shared" si="2"/>
        <v>0.85670035702879221</v>
      </c>
      <c r="L36">
        <f t="shared" si="3"/>
        <v>0.69296840907930624</v>
      </c>
      <c r="M36">
        <f t="shared" si="13"/>
        <v>0.52129692363328606</v>
      </c>
      <c r="N36">
        <f t="shared" si="14"/>
        <v>0.5218685863445035</v>
      </c>
      <c r="O36">
        <f t="shared" si="4"/>
        <v>0.55079477313813563</v>
      </c>
      <c r="P36">
        <f t="shared" si="5"/>
        <v>0.72696520200358694</v>
      </c>
      <c r="Q36">
        <f t="shared" si="6"/>
        <v>1.6361262636214302</v>
      </c>
      <c r="R36" t="e">
        <v>#N/A</v>
      </c>
      <c r="S36" cm="1">
        <f t="array" ref="S36">GompMean(N36,0)/B$5</f>
        <v>0.13054822993494294</v>
      </c>
      <c r="T36" cm="1">
        <f t="array" ref="T36">GompMean(O36,0)/C$5</f>
        <v>0.28444542642431064</v>
      </c>
      <c r="U36" cm="1">
        <f t="array" ref="U36">GompMean(P36,0)/D$5</f>
        <v>0.49866279335368424</v>
      </c>
      <c r="V36" cm="1">
        <f t="array" ref="V36">GompMean(Q36,0)/E$5</f>
        <v>0.75952548953264598</v>
      </c>
      <c r="W36">
        <v>1</v>
      </c>
      <c r="X36">
        <f t="shared" si="15"/>
        <v>0.33542314008146645</v>
      </c>
      <c r="Y36">
        <f t="shared" si="7"/>
        <v>0.26400782249069932</v>
      </c>
      <c r="Z36">
        <f t="shared" si="8"/>
        <v>0.19525312946040463</v>
      </c>
      <c r="AA36">
        <f t="shared" si="9"/>
        <v>0.13758174769915332</v>
      </c>
      <c r="AB36">
        <f t="shared" si="10"/>
        <v>9.6729951592736452E-2</v>
      </c>
    </row>
    <row r="37" spans="1:28" x14ac:dyDescent="0.3">
      <c r="A37">
        <f t="shared" si="16"/>
        <v>0.421875</v>
      </c>
      <c r="B37">
        <f t="shared" si="18"/>
        <v>7.1528133561531815E-2</v>
      </c>
      <c r="C37">
        <f t="shared" si="18"/>
        <v>0.30463968077569209</v>
      </c>
      <c r="D37">
        <f t="shared" si="18"/>
        <v>0.47274232599922783</v>
      </c>
      <c r="E37">
        <f t="shared" si="18"/>
        <v>0.58138631151558195</v>
      </c>
      <c r="F37">
        <f t="shared" si="11"/>
        <v>0.65581601127150158</v>
      </c>
      <c r="H37">
        <f t="shared" si="17"/>
        <v>0.421875</v>
      </c>
      <c r="I37">
        <f t="shared" si="12"/>
        <v>0.99596811858871426</v>
      </c>
      <c r="J37">
        <f t="shared" si="1"/>
        <v>0.9705489182506094</v>
      </c>
      <c r="K37">
        <f t="shared" si="2"/>
        <v>0.88114549102626361</v>
      </c>
      <c r="L37">
        <f t="shared" si="3"/>
        <v>0.72217378673526311</v>
      </c>
      <c r="M37">
        <f t="shared" si="13"/>
        <v>0.54796517071544737</v>
      </c>
      <c r="N37">
        <f t="shared" si="14"/>
        <v>0.54853683342666548</v>
      </c>
      <c r="O37">
        <f t="shared" si="4"/>
        <v>0.57746302022029694</v>
      </c>
      <c r="P37">
        <f t="shared" si="5"/>
        <v>0.75363344908574803</v>
      </c>
      <c r="Q37">
        <f t="shared" si="6"/>
        <v>1.6627945107035917</v>
      </c>
      <c r="R37" t="e">
        <v>#N/A</v>
      </c>
      <c r="S37" cm="1">
        <f t="array" ref="S37">GompMean(N37,0)/B$5</f>
        <v>0.12674948845979767</v>
      </c>
      <c r="T37" cm="1">
        <f t="array" ref="T37">GompMean(O37,0)/C$5</f>
        <v>0.27649535809585779</v>
      </c>
      <c r="U37" cm="1">
        <f t="array" ref="U37">GompMean(P37,0)/D$5</f>
        <v>0.48736417719788966</v>
      </c>
      <c r="V37" cm="1">
        <f t="array" ref="V37">GompMean(Q37,0)/E$5</f>
        <v>0.75045385119545482</v>
      </c>
      <c r="W37">
        <v>1</v>
      </c>
      <c r="X37">
        <f t="shared" si="15"/>
        <v>0.35092888342507911</v>
      </c>
      <c r="Y37">
        <f t="shared" si="7"/>
        <v>0.27905252773719857</v>
      </c>
      <c r="Z37">
        <f t="shared" si="8"/>
        <v>0.20883034805791134</v>
      </c>
      <c r="AA37">
        <f t="shared" si="9"/>
        <v>0.14863714682130369</v>
      </c>
      <c r="AB37">
        <f t="shared" si="10"/>
        <v>0.10508263568013199</v>
      </c>
    </row>
    <row r="38" spans="1:28" x14ac:dyDescent="0.3">
      <c r="A38">
        <f t="shared" si="16"/>
        <v>0.4375</v>
      </c>
      <c r="B38">
        <f t="shared" si="18"/>
        <v>7.9568781753526954E-2</v>
      </c>
      <c r="C38">
        <f t="shared" si="18"/>
        <v>0.31790183005590389</v>
      </c>
      <c r="D38">
        <f t="shared" si="18"/>
        <v>0.47945816892661342</v>
      </c>
      <c r="E38">
        <f t="shared" si="18"/>
        <v>0.57930689363898669</v>
      </c>
      <c r="F38">
        <f t="shared" si="11"/>
        <v>0.64564852642789206</v>
      </c>
      <c r="H38">
        <f t="shared" si="17"/>
        <v>0.4375</v>
      </c>
      <c r="I38">
        <f t="shared" si="12"/>
        <v>1.0030380285401526</v>
      </c>
      <c r="J38">
        <f t="shared" si="1"/>
        <v>0.98567525941103418</v>
      </c>
      <c r="K38">
        <f t="shared" si="2"/>
        <v>0.90537557651379486</v>
      </c>
      <c r="L38">
        <f t="shared" si="3"/>
        <v>0.75169558123831848</v>
      </c>
      <c r="M38">
        <f t="shared" si="13"/>
        <v>0.5753641449035618</v>
      </c>
      <c r="N38">
        <f t="shared" si="14"/>
        <v>0.5759358076147798</v>
      </c>
      <c r="O38">
        <f t="shared" si="4"/>
        <v>0.60486199440841126</v>
      </c>
      <c r="P38">
        <f t="shared" si="5"/>
        <v>0.78103242327386246</v>
      </c>
      <c r="Q38">
        <f t="shared" si="6"/>
        <v>1.690193484891706</v>
      </c>
      <c r="R38" t="e">
        <v>#N/A</v>
      </c>
      <c r="S38" cm="1">
        <f t="array" ref="S38">GompMean(N38,0)/B$5</f>
        <v>0.12310185515255892</v>
      </c>
      <c r="T38" cm="1">
        <f t="array" ref="T38">GompMean(O38,0)/C$5</f>
        <v>0.2688386917039759</v>
      </c>
      <c r="U38" cm="1">
        <f t="array" ref="U38">GompMean(P38,0)/D$5</f>
        <v>0.47633499035804577</v>
      </c>
      <c r="V38" cm="1">
        <f t="array" ref="V38">GompMean(Q38,0)/E$5</f>
        <v>0.74136872756988026</v>
      </c>
      <c r="W38">
        <v>1</v>
      </c>
      <c r="X38">
        <f t="shared" si="15"/>
        <v>0.36654631542284977</v>
      </c>
      <c r="Y38">
        <f t="shared" si="7"/>
        <v>0.29433590249780683</v>
      </c>
      <c r="Z38">
        <f t="shared" si="8"/>
        <v>0.22278780613458971</v>
      </c>
      <c r="AA38">
        <f t="shared" si="9"/>
        <v>0.1601513262953882</v>
      </c>
      <c r="AB38">
        <f t="shared" si="10"/>
        <v>0.1138576684917465</v>
      </c>
    </row>
    <row r="39" spans="1:28" x14ac:dyDescent="0.3">
      <c r="A39">
        <f t="shared" si="16"/>
        <v>0.453125</v>
      </c>
      <c r="B39">
        <f t="shared" si="18"/>
        <v>8.8501300938496175E-2</v>
      </c>
      <c r="C39">
        <f t="shared" si="18"/>
        <v>0.33165557282331998</v>
      </c>
      <c r="D39">
        <f t="shared" si="18"/>
        <v>0.48616835989092744</v>
      </c>
      <c r="E39">
        <f t="shared" si="18"/>
        <v>0.57717356998541336</v>
      </c>
      <c r="F39">
        <f t="shared" si="11"/>
        <v>0.63563867382605199</v>
      </c>
      <c r="H39">
        <f t="shared" si="17"/>
        <v>0.453125</v>
      </c>
      <c r="I39">
        <f t="shared" si="12"/>
        <v>1.0099647503600877</v>
      </c>
      <c r="J39">
        <f t="shared" si="1"/>
        <v>1.0005294947144807</v>
      </c>
      <c r="K39">
        <f t="shared" si="2"/>
        <v>0.9294176891222331</v>
      </c>
      <c r="L39">
        <f t="shared" si="3"/>
        <v>0.78155424499290249</v>
      </c>
      <c r="M39">
        <f t="shared" si="13"/>
        <v>0.6035350218702582</v>
      </c>
      <c r="N39">
        <f t="shared" si="14"/>
        <v>0.60410668458147565</v>
      </c>
      <c r="O39">
        <f t="shared" si="4"/>
        <v>0.63303287137510789</v>
      </c>
      <c r="P39">
        <f t="shared" si="5"/>
        <v>0.80920330024055898</v>
      </c>
      <c r="Q39">
        <f t="shared" si="6"/>
        <v>1.7183643618584024</v>
      </c>
      <c r="R39" t="e">
        <v>#N/A</v>
      </c>
      <c r="S39" cm="1">
        <f t="array" ref="S39">GompMean(N39,0)/B$5</f>
        <v>0.11959305304553283</v>
      </c>
      <c r="T39" cm="1">
        <f t="array" ref="T39">GompMean(O39,0)/C$5</f>
        <v>0.26145274484915931</v>
      </c>
      <c r="U39" cm="1">
        <f t="array" ref="U39">GompMean(P39,0)/D$5</f>
        <v>0.46555857439523657</v>
      </c>
      <c r="V39" cm="1">
        <f t="array" ref="V39">GompMean(Q39,0)/E$5</f>
        <v>0.73226630267969806</v>
      </c>
      <c r="W39">
        <v>1</v>
      </c>
      <c r="X39">
        <f t="shared" si="15"/>
        <v>0.38227307626255125</v>
      </c>
      <c r="Y39">
        <f t="shared" si="7"/>
        <v>0.30985346273863434</v>
      </c>
      <c r="Z39">
        <f t="shared" si="8"/>
        <v>0.23712235588888375</v>
      </c>
      <c r="AA39">
        <f t="shared" si="9"/>
        <v>0.17212938799154653</v>
      </c>
      <c r="AB39">
        <f t="shared" si="10"/>
        <v>0.12306678491470258</v>
      </c>
    </row>
    <row r="40" spans="1:28" x14ac:dyDescent="0.3">
      <c r="A40">
        <f t="shared" si="16"/>
        <v>0.46875</v>
      </c>
      <c r="B40">
        <f t="shared" si="18"/>
        <v>9.8421739116151791E-2</v>
      </c>
      <c r="C40">
        <f t="shared" si="18"/>
        <v>0.34591052589459254</v>
      </c>
      <c r="D40">
        <f t="shared" si="18"/>
        <v>0.49286762480756041</v>
      </c>
      <c r="E40">
        <f t="shared" si="18"/>
        <v>0.57498646077372373</v>
      </c>
      <c r="F40">
        <f t="shared" si="11"/>
        <v>0.62578400960459113</v>
      </c>
      <c r="H40">
        <f t="shared" si="17"/>
        <v>0.46875</v>
      </c>
      <c r="I40">
        <f t="shared" si="12"/>
        <v>1.0167629368889799</v>
      </c>
      <c r="J40">
        <f t="shared" si="1"/>
        <v>1.0151396532414201</v>
      </c>
      <c r="K40">
        <f t="shared" si="2"/>
        <v>0.9532983837627258</v>
      </c>
      <c r="L40">
        <f t="shared" si="3"/>
        <v>0.81177179289777213</v>
      </c>
      <c r="M40">
        <f t="shared" si="13"/>
        <v>0.63252255874351049</v>
      </c>
      <c r="N40">
        <f t="shared" si="14"/>
        <v>0.63309422145472849</v>
      </c>
      <c r="O40">
        <f t="shared" si="4"/>
        <v>0.66202040824835995</v>
      </c>
      <c r="P40">
        <f t="shared" si="5"/>
        <v>0.83819083711381126</v>
      </c>
      <c r="Q40">
        <f t="shared" si="6"/>
        <v>1.7473518987316545</v>
      </c>
      <c r="R40" t="e">
        <v>#N/A</v>
      </c>
      <c r="S40" cm="1">
        <f t="array" ref="S40">GompMean(N40,0)/B$5</f>
        <v>0.11621203798366105</v>
      </c>
      <c r="T40" cm="1">
        <f t="array" ref="T40">GompMean(O40,0)/C$5</f>
        <v>0.25431695235309909</v>
      </c>
      <c r="U40" cm="1">
        <f t="array" ref="U40">GompMean(P40,0)/D$5</f>
        <v>0.45501922892730584</v>
      </c>
      <c r="V40" cm="1">
        <f t="array" ref="V40">GompMean(Q40,0)/E$5</f>
        <v>0.72314253117211613</v>
      </c>
      <c r="W40">
        <v>1</v>
      </c>
      <c r="X40">
        <f t="shared" si="15"/>
        <v>0.39810704459890944</v>
      </c>
      <c r="Y40">
        <f t="shared" si="7"/>
        <v>0.32560117827791168</v>
      </c>
      <c r="Z40">
        <f t="shared" si="8"/>
        <v>0.25183126825842073</v>
      </c>
      <c r="AA40">
        <f t="shared" si="9"/>
        <v>0.18457676533787182</v>
      </c>
      <c r="AB40">
        <f t="shared" si="10"/>
        <v>0.13272239066751013</v>
      </c>
    </row>
    <row r="41" spans="1:28" x14ac:dyDescent="0.3">
      <c r="A41">
        <f t="shared" si="16"/>
        <v>0.484375</v>
      </c>
      <c r="B41">
        <f t="shared" si="18"/>
        <v>0.10943579357021498</v>
      </c>
      <c r="C41">
        <f t="shared" si="18"/>
        <v>0.36067553583331041</v>
      </c>
      <c r="D41">
        <f t="shared" si="18"/>
        <v>0.49955046899812744</v>
      </c>
      <c r="E41">
        <f t="shared" si="18"/>
        <v>0.57274570441546058</v>
      </c>
      <c r="F41">
        <f t="shared" si="11"/>
        <v>0.61608212779067828</v>
      </c>
      <c r="H41">
        <f t="shared" si="17"/>
        <v>0.484375</v>
      </c>
      <c r="I41">
        <f t="shared" si="12"/>
        <v>1.0234461897872518</v>
      </c>
      <c r="J41">
        <f t="shared" si="1"/>
        <v>1.0295320113199469</v>
      </c>
      <c r="K41">
        <f t="shared" si="2"/>
        <v>0.97704388503668538</v>
      </c>
      <c r="L41">
        <f t="shared" si="3"/>
        <v>0.84237198149669423</v>
      </c>
      <c r="M41">
        <f t="shared" si="13"/>
        <v>0.6623755218931916</v>
      </c>
      <c r="N41">
        <f t="shared" si="14"/>
        <v>0.66294718460440849</v>
      </c>
      <c r="O41">
        <f t="shared" si="4"/>
        <v>0.69187337139804073</v>
      </c>
      <c r="P41">
        <f t="shared" si="5"/>
        <v>0.86804380026349226</v>
      </c>
      <c r="Q41">
        <f t="shared" si="6"/>
        <v>1.7772048618813356</v>
      </c>
      <c r="R41" t="e">
        <v>#N/A</v>
      </c>
      <c r="S41" cm="1">
        <f t="array" ref="S41">GompMean(N41,0)/B$5</f>
        <v>0.11294882678666424</v>
      </c>
      <c r="T41" cm="1">
        <f t="array" ref="T41">GompMean(O41,0)/C$5</f>
        <v>0.24741258450835771</v>
      </c>
      <c r="U41" cm="1">
        <f t="array" ref="U41">GompMean(P41,0)/D$5</f>
        <v>0.44470210037185781</v>
      </c>
      <c r="V41" cm="1">
        <f t="array" ref="V41">GompMean(Q41,0)/E$5</f>
        <v>0.71399311115304964</v>
      </c>
      <c r="W41">
        <v>1</v>
      </c>
      <c r="X41">
        <f t="shared" si="15"/>
        <v>0.41404631957907456</v>
      </c>
      <c r="Y41">
        <f t="shared" si="7"/>
        <v>0.34157544277603047</v>
      </c>
      <c r="Z41">
        <f t="shared" si="8"/>
        <v>0.26691222627371991</v>
      </c>
      <c r="AA41">
        <f t="shared" si="9"/>
        <v>0.19749924910247585</v>
      </c>
      <c r="AB41">
        <f t="shared" si="10"/>
        <v>0.14283762152382307</v>
      </c>
    </row>
    <row r="42" spans="1:28" x14ac:dyDescent="0.3">
      <c r="A42">
        <f t="shared" si="16"/>
        <v>0.5</v>
      </c>
      <c r="B42">
        <f t="shared" si="18"/>
        <v>0.12165960986423231</v>
      </c>
      <c r="C42">
        <f t="shared" si="18"/>
        <v>0.37595854692505476</v>
      </c>
      <c r="D42">
        <f t="shared" si="18"/>
        <v>0.50621117495169055</v>
      </c>
      <c r="E42">
        <f t="shared" si="18"/>
        <v>0.57045145771623484</v>
      </c>
      <c r="F42">
        <f t="shared" si="11"/>
        <v>0.60653065971263342</v>
      </c>
      <c r="H42">
        <f t="shared" si="17"/>
        <v>0.5</v>
      </c>
      <c r="I42">
        <f t="shared" si="12"/>
        <v>1.0300272361755449</v>
      </c>
      <c r="J42">
        <f t="shared" si="1"/>
        <v>1.0437313962814583</v>
      </c>
      <c r="K42">
        <f t="shared" si="2"/>
        <v>1.0006802776161441</v>
      </c>
      <c r="L42">
        <f t="shared" si="3"/>
        <v>0.87338051448175935</v>
      </c>
      <c r="M42">
        <f t="shared" si="13"/>
        <v>0.69314718055994529</v>
      </c>
      <c r="N42">
        <f t="shared" si="14"/>
        <v>0.69371884327116251</v>
      </c>
      <c r="O42">
        <f t="shared" si="4"/>
        <v>0.72264503006479475</v>
      </c>
      <c r="P42">
        <f t="shared" si="5"/>
        <v>0.89881545893024606</v>
      </c>
      <c r="Q42">
        <f t="shared" si="6"/>
        <v>1.8079765205480895</v>
      </c>
      <c r="R42" t="e">
        <v>#N/A</v>
      </c>
      <c r="S42" cm="1">
        <f t="array" ref="S42">GompMean(N42,0)/B$5</f>
        <v>0.10979435216716846</v>
      </c>
      <c r="T42" cm="1">
        <f t="array" ref="T42">GompMean(O42,0)/C$5</f>
        <v>0.24072250618457411</v>
      </c>
      <c r="U42" cm="1">
        <f t="array" ref="U42">GompMean(P42,0)/D$5</f>
        <v>0.43459307961959959</v>
      </c>
      <c r="V42" cm="1">
        <f t="array" ref="V42">GompMean(Q42,0)/E$5</f>
        <v>0.70481345316835364</v>
      </c>
      <c r="W42">
        <v>1</v>
      </c>
      <c r="X42">
        <f t="shared" si="15"/>
        <v>0.4300892058286433</v>
      </c>
      <c r="Y42">
        <f t="shared" si="7"/>
        <v>0.35777304876698379</v>
      </c>
      <c r="Z42">
        <f t="shared" si="8"/>
        <v>0.28236332138212816</v>
      </c>
      <c r="AA42">
        <f t="shared" si="9"/>
        <v>0.21090301617494345</v>
      </c>
      <c r="AB42">
        <f t="shared" si="10"/>
        <v>0.1534264097200273</v>
      </c>
    </row>
    <row r="43" spans="1:28" x14ac:dyDescent="0.3">
      <c r="A43">
        <f t="shared" si="16"/>
        <v>0.515625</v>
      </c>
      <c r="B43">
        <f t="shared" si="18"/>
        <v>0.13522060297979488</v>
      </c>
      <c r="C43">
        <f t="shared" si="18"/>
        <v>0.39176645740473637</v>
      </c>
      <c r="D43">
        <f t="shared" si="18"/>
        <v>0.51284380048179645</v>
      </c>
      <c r="E43">
        <f t="shared" si="18"/>
        <v>0.56810389606979084</v>
      </c>
      <c r="F43">
        <f t="shared" si="11"/>
        <v>0.59712727342162741</v>
      </c>
      <c r="H43">
        <f t="shared" si="17"/>
        <v>0.515625</v>
      </c>
      <c r="I43">
        <f t="shared" si="12"/>
        <v>1.0365180844271809</v>
      </c>
      <c r="J43">
        <f t="shared" si="1"/>
        <v>1.0577614597889389</v>
      </c>
      <c r="K43">
        <f t="shared" si="2"/>
        <v>1.0242337002862156</v>
      </c>
      <c r="L43">
        <f t="shared" si="3"/>
        <v>0.90482527940176849</v>
      </c>
      <c r="M43">
        <f t="shared" si="13"/>
        <v>0.72489587887452556</v>
      </c>
      <c r="N43">
        <f t="shared" si="14"/>
        <v>0.72546754158574267</v>
      </c>
      <c r="O43">
        <f t="shared" si="4"/>
        <v>0.75439372837937535</v>
      </c>
      <c r="P43">
        <f t="shared" si="5"/>
        <v>0.93056415724482633</v>
      </c>
      <c r="Q43">
        <f t="shared" si="6"/>
        <v>1.8397252188626698</v>
      </c>
      <c r="R43" t="e">
        <v>#N/A</v>
      </c>
      <c r="S43" cm="1">
        <f t="array" ref="S43">GompMean(N43,0)/B$5</f>
        <v>0.10674033925723224</v>
      </c>
      <c r="T43" cm="1">
        <f t="array" ref="T43">GompMean(O43,0)/C$5</f>
        <v>0.2342309692432552</v>
      </c>
      <c r="U43" cm="1">
        <f t="array" ref="U43">GompMean(P43,0)/D$5</f>
        <v>0.42467870689805165</v>
      </c>
      <c r="V43" cm="1">
        <f t="array" ref="V43">GompMean(Q43,0)/E$5</f>
        <v>0.69559864463314769</v>
      </c>
      <c r="W43">
        <v>1</v>
      </c>
      <c r="X43">
        <f t="shared" si="15"/>
        <v>0.44623420102786249</v>
      </c>
      <c r="Y43">
        <f t="shared" si="7"/>
        <v>0.37419116718753098</v>
      </c>
      <c r="Z43">
        <f t="shared" si="8"/>
        <v>0.29818305277012058</v>
      </c>
      <c r="AA43">
        <f t="shared" si="9"/>
        <v>0.22479466179558738</v>
      </c>
      <c r="AB43">
        <f t="shared" si="10"/>
        <v>0.16450355867015165</v>
      </c>
    </row>
    <row r="44" spans="1:28" x14ac:dyDescent="0.3">
      <c r="A44">
        <f t="shared" si="16"/>
        <v>0.53125</v>
      </c>
      <c r="B44">
        <f t="shared" si="18"/>
        <v>0.15025828772443178</v>
      </c>
      <c r="C44">
        <f t="shared" si="18"/>
        <v>0.40810496337619606</v>
      </c>
      <c r="D44">
        <f t="shared" si="18"/>
        <v>0.51944217731529063</v>
      </c>
      <c r="E44">
        <f t="shared" si="18"/>
        <v>0.56570321364443044</v>
      </c>
      <c r="F44">
        <f t="shared" si="11"/>
        <v>0.5878696731223465</v>
      </c>
      <c r="H44">
        <f t="shared" si="17"/>
        <v>0.53125</v>
      </c>
      <c r="I44">
        <f t="shared" si="12"/>
        <v>1.0429301639987798</v>
      </c>
      <c r="J44">
        <f t="shared" si="1"/>
        <v>1.0716449284091325</v>
      </c>
      <c r="K44">
        <f t="shared" si="2"/>
        <v>1.0477305476045577</v>
      </c>
      <c r="L44">
        <f t="shared" si="3"/>
        <v>0.93673662150972459</v>
      </c>
      <c r="M44">
        <f t="shared" si="13"/>
        <v>0.75768570169751648</v>
      </c>
      <c r="N44">
        <f t="shared" si="14"/>
        <v>0.75825736440873415</v>
      </c>
      <c r="O44">
        <f t="shared" si="4"/>
        <v>0.78718355120236549</v>
      </c>
      <c r="P44">
        <f t="shared" si="5"/>
        <v>0.96335398006781714</v>
      </c>
      <c r="Q44">
        <f t="shared" si="6"/>
        <v>1.8725150416856606</v>
      </c>
      <c r="R44" t="e">
        <v>#N/A</v>
      </c>
      <c r="S44" cm="1">
        <f t="array" ref="S44">GompMean(N44,0)/B$5</f>
        <v>0.10377919964588415</v>
      </c>
      <c r="T44" cm="1">
        <f t="array" ref="T44">GompMean(O44,0)/C$5</f>
        <v>0.22792343214546845</v>
      </c>
      <c r="U44" cm="1">
        <f t="array" ref="U44">GompMean(P44,0)/D$5</f>
        <v>0.41494608221595947</v>
      </c>
      <c r="V44" cm="1">
        <f t="array" ref="V44">GompMean(Q44,0)/E$5</f>
        <v>0.68634340885844081</v>
      </c>
      <c r="W44">
        <v>1</v>
      </c>
      <c r="X44">
        <f t="shared" si="15"/>
        <v>0.4624799857915638</v>
      </c>
      <c r="Y44">
        <f t="shared" si="7"/>
        <v>0.39082733099003086</v>
      </c>
      <c r="Z44">
        <f t="shared" si="8"/>
        <v>0.3143703297716326</v>
      </c>
      <c r="AA44">
        <f t="shared" si="9"/>
        <v>0.23918123576492245</v>
      </c>
      <c r="AB44">
        <f t="shared" si="10"/>
        <v>0.17608482732928921</v>
      </c>
    </row>
    <row r="45" spans="1:28" x14ac:dyDescent="0.3">
      <c r="A45">
        <f t="shared" si="16"/>
        <v>0.546875</v>
      </c>
      <c r="B45">
        <f t="shared" si="18"/>
        <v>0.16692510079263434</v>
      </c>
      <c r="C45">
        <f t="shared" si="18"/>
        <v>0.42497838990285275</v>
      </c>
      <c r="D45">
        <f t="shared" si="18"/>
        <v>0.52599991015028802</v>
      </c>
      <c r="E45">
        <f t="shared" si="18"/>
        <v>0.56324962356147101</v>
      </c>
      <c r="F45">
        <f t="shared" si="11"/>
        <v>0.57875559861248427</v>
      </c>
      <c r="H45">
        <f t="shared" si="17"/>
        <v>0.546875</v>
      </c>
      <c r="I45">
        <f t="shared" si="12"/>
        <v>1.0492744534505705</v>
      </c>
      <c r="J45">
        <f t="shared" si="1"/>
        <v>1.0854038381841937</v>
      </c>
      <c r="K45">
        <f t="shared" si="2"/>
        <v>1.0711976835593997</v>
      </c>
      <c r="L45">
        <f t="shared" si="3"/>
        <v>0.9691476620510624</v>
      </c>
      <c r="M45">
        <f t="shared" si="13"/>
        <v>0.7915872533731978</v>
      </c>
      <c r="N45">
        <f t="shared" si="14"/>
        <v>0.79215891608441413</v>
      </c>
      <c r="O45">
        <f t="shared" si="4"/>
        <v>0.8210851028780477</v>
      </c>
      <c r="P45">
        <f t="shared" si="5"/>
        <v>0.99725553174349857</v>
      </c>
      <c r="Q45">
        <f t="shared" si="6"/>
        <v>1.9064165933613422</v>
      </c>
      <c r="R45" t="e">
        <v>#N/A</v>
      </c>
      <c r="S45" cm="1">
        <f t="array" ref="S45">GompMean(N45,0)/B$5</f>
        <v>0.1009039396271541</v>
      </c>
      <c r="T45" cm="1">
        <f t="array" ref="T45">GompMean(O45,0)/C$5</f>
        <v>0.22178640173390074</v>
      </c>
      <c r="U45" cm="1">
        <f t="array" ref="U45">GompMean(P45,0)/D$5</f>
        <v>0.40538277985576532</v>
      </c>
      <c r="V45" cm="1">
        <f t="array" ref="V45">GompMean(Q45,0)/E$5</f>
        <v>0.67704205763198133</v>
      </c>
      <c r="W45">
        <v>1</v>
      </c>
      <c r="X45">
        <f t="shared" si="15"/>
        <v>0.47882541563665604</v>
      </c>
      <c r="Y45">
        <f t="shared" si="7"/>
        <v>0.40767942253711342</v>
      </c>
      <c r="Z45">
        <f t="shared" si="8"/>
        <v>0.33092447751500331</v>
      </c>
      <c r="AA45">
        <f t="shared" si="9"/>
        <v>0.2540702832686208</v>
      </c>
      <c r="AB45">
        <f t="shared" si="10"/>
        <v>0.1881870258152698</v>
      </c>
    </row>
    <row r="46" spans="1:28" x14ac:dyDescent="0.3">
      <c r="A46">
        <f t="shared" si="16"/>
        <v>0.5625</v>
      </c>
      <c r="B46">
        <f t="shared" si="18"/>
        <v>0.18538719094575851</v>
      </c>
      <c r="C46">
        <f t="shared" si="18"/>
        <v>0.44238950880189065</v>
      </c>
      <c r="D46">
        <f t="shared" si="18"/>
        <v>0.53251037622205832</v>
      </c>
      <c r="E46">
        <f t="shared" si="18"/>
        <v>0.56074335806541353</v>
      </c>
      <c r="F46">
        <f t="shared" si="11"/>
        <v>0.56978282473092301</v>
      </c>
      <c r="H46">
        <f t="shared" si="17"/>
        <v>0.5625</v>
      </c>
      <c r="I46">
        <f t="shared" si="12"/>
        <v>1.0555616003068071</v>
      </c>
      <c r="J46">
        <f t="shared" si="1"/>
        <v>1.0990597593869194</v>
      </c>
      <c r="K46">
        <f t="shared" si="2"/>
        <v>1.0946626722307082</v>
      </c>
      <c r="L46">
        <f t="shared" si="3"/>
        <v>1.0020946700362492</v>
      </c>
      <c r="M46">
        <f t="shared" si="13"/>
        <v>0.82667857318446791</v>
      </c>
      <c r="N46">
        <f t="shared" si="14"/>
        <v>0.8272502358956858</v>
      </c>
      <c r="O46">
        <f t="shared" si="4"/>
        <v>0.8561764226893176</v>
      </c>
      <c r="P46">
        <f t="shared" si="5"/>
        <v>1.0323468515547687</v>
      </c>
      <c r="Q46">
        <f t="shared" si="6"/>
        <v>1.9415079131726121</v>
      </c>
      <c r="R46" t="e">
        <v>#N/A</v>
      </c>
      <c r="S46" cm="1">
        <f t="array" ref="S46">GompMean(N46,0)/B$5</f>
        <v>9.8108079963652423E-2</v>
      </c>
      <c r="T46" cm="1">
        <f t="array" ref="T46">GompMean(O46,0)/C$5</f>
        <v>0.21580729300843365</v>
      </c>
      <c r="U46" cm="1">
        <f t="array" ref="U46">GompMean(P46,0)/D$5</f>
        <v>0.39597676540552418</v>
      </c>
      <c r="V46" cm="1">
        <f t="array" ref="V46">GompMean(Q46,0)/E$5</f>
        <v>0.66768843606553363</v>
      </c>
      <c r="W46">
        <v>1</v>
      </c>
      <c r="X46">
        <f t="shared" si="15"/>
        <v>0.49526951488167392</v>
      </c>
      <c r="Y46">
        <f t="shared" si="7"/>
        <v>0.42474566457703311</v>
      </c>
      <c r="Z46">
        <f t="shared" si="8"/>
        <v>0.34784524603414835</v>
      </c>
      <c r="AA46">
        <f t="shared" si="9"/>
        <v>0.26946989108047004</v>
      </c>
      <c r="AB46">
        <f t="shared" si="10"/>
        <v>0.2008281242317953</v>
      </c>
    </row>
    <row r="47" spans="1:28" x14ac:dyDescent="0.3">
      <c r="A47">
        <f t="shared" si="16"/>
        <v>0.578125</v>
      </c>
      <c r="B47">
        <f t="shared" si="18"/>
        <v>0.20582514645442385</v>
      </c>
      <c r="C47">
        <f t="shared" si="18"/>
        <v>0.4603393427454408</v>
      </c>
      <c r="D47">
        <f t="shared" si="18"/>
        <v>0.53896672541690671</v>
      </c>
      <c r="E47">
        <f t="shared" si="18"/>
        <v>0.55818466868549421</v>
      </c>
      <c r="F47">
        <f t="shared" si="11"/>
        <v>0.56094916081447077</v>
      </c>
      <c r="H47">
        <f t="shared" si="17"/>
        <v>0.578125</v>
      </c>
      <c r="I47">
        <f t="shared" si="12"/>
        <v>1.0618020361023874</v>
      </c>
      <c r="J47">
        <f t="shared" si="1"/>
        <v>1.1126340173816962</v>
      </c>
      <c r="K47">
        <f t="shared" si="2"/>
        <v>1.1181540313265057</v>
      </c>
      <c r="L47">
        <f t="shared" si="3"/>
        <v>1.0356174987775797</v>
      </c>
      <c r="M47">
        <f t="shared" si="13"/>
        <v>0.86304621735534282</v>
      </c>
      <c r="N47">
        <f t="shared" si="14"/>
        <v>0.86361788006656082</v>
      </c>
      <c r="O47">
        <f t="shared" si="4"/>
        <v>0.89254406686019194</v>
      </c>
      <c r="P47">
        <f t="shared" si="5"/>
        <v>1.0687144957256436</v>
      </c>
      <c r="Q47">
        <f t="shared" si="6"/>
        <v>1.977875557343487</v>
      </c>
      <c r="R47" t="e">
        <v>#N/A</v>
      </c>
      <c r="S47" cm="1">
        <f t="array" ref="S47">GompMean(N47,0)/B$5</f>
        <v>9.5385584929186071E-2</v>
      </c>
      <c r="T47" cm="1">
        <f t="array" ref="T47">GompMean(O47,0)/C$5</f>
        <v>0.20997430334663841</v>
      </c>
      <c r="U47" cm="1">
        <f t="array" ref="U47">GompMean(P47,0)/D$5</f>
        <v>0.38671631378948518</v>
      </c>
      <c r="V47" cm="1">
        <f t="array" ref="V47">GompMean(Q47,0)/E$5</f>
        <v>0.65827585810798017</v>
      </c>
      <c r="W47">
        <v>1</v>
      </c>
      <c r="X47">
        <f t="shared" si="15"/>
        <v>0.51181147237730495</v>
      </c>
      <c r="Y47">
        <f t="shared" si="7"/>
        <v>0.44202461469273391</v>
      </c>
      <c r="Z47">
        <f t="shared" si="8"/>
        <v>0.36513282315419138</v>
      </c>
      <c r="AA47">
        <f t="shared" si="9"/>
        <v>0.28538874006390447</v>
      </c>
      <c r="AB47">
        <f t="shared" si="10"/>
        <v>0.21402737705321473</v>
      </c>
    </row>
    <row r="48" spans="1:28" x14ac:dyDescent="0.3">
      <c r="A48">
        <f t="shared" si="16"/>
        <v>0.59375</v>
      </c>
      <c r="B48">
        <f t="shared" si="18"/>
        <v>0.22843461995984121</v>
      </c>
      <c r="C48">
        <f t="shared" si="18"/>
        <v>0.47882695536303299</v>
      </c>
      <c r="D48">
        <f t="shared" si="18"/>
        <v>0.5453618809753884</v>
      </c>
      <c r="E48">
        <f t="shared" si="18"/>
        <v>0.55557382638829622</v>
      </c>
      <c r="F48">
        <f t="shared" si="11"/>
        <v>0.55225245016302038</v>
      </c>
      <c r="H48">
        <f t="shared" si="17"/>
        <v>0.59375</v>
      </c>
      <c r="I48">
        <f t="shared" si="12"/>
        <v>1.0680060898350405</v>
      </c>
      <c r="J48">
        <f t="shared" si="1"/>
        <v>1.1261479155514804</v>
      </c>
      <c r="K48">
        <f t="shared" si="2"/>
        <v>1.1417015156469514</v>
      </c>
      <c r="L48">
        <f t="shared" si="3"/>
        <v>1.0697601013645768</v>
      </c>
      <c r="M48">
        <f t="shared" si="13"/>
        <v>0.9007865453381898</v>
      </c>
      <c r="N48">
        <f t="shared" si="14"/>
        <v>0.90135820804940747</v>
      </c>
      <c r="O48">
        <f t="shared" si="4"/>
        <v>0.93028439484303926</v>
      </c>
      <c r="P48">
        <f t="shared" si="5"/>
        <v>1.1064548237084906</v>
      </c>
      <c r="Q48">
        <f t="shared" si="6"/>
        <v>2.015615885326334</v>
      </c>
      <c r="R48" t="e">
        <v>#N/A</v>
      </c>
      <c r="S48" cm="1">
        <f t="array" ref="S48">GompMean(N48,0)/B$5</f>
        <v>9.2730798736325087E-2</v>
      </c>
      <c r="T48" cm="1">
        <f t="array" ref="T48">GompMean(O48,0)/C$5</f>
        <v>0.20427629808520595</v>
      </c>
      <c r="U48" cm="1">
        <f t="array" ref="U48">GompMean(P48,0)/D$5</f>
        <v>0.37758992666121016</v>
      </c>
      <c r="V48" cm="1">
        <f t="array" ref="V48">GompMean(Q48,0)/E$5</f>
        <v>0.64879703072052886</v>
      </c>
      <c r="W48">
        <v>1</v>
      </c>
      <c r="X48">
        <f t="shared" si="15"/>
        <v>0.5284506390178827</v>
      </c>
      <c r="Y48">
        <f t="shared" si="7"/>
        <v>0.45951516321009611</v>
      </c>
      <c r="Z48">
        <f t="shared" si="8"/>
        <v>0.38278785156230932</v>
      </c>
      <c r="AA48">
        <f t="shared" si="9"/>
        <v>0.30183616509042588</v>
      </c>
      <c r="AB48">
        <f t="shared" si="10"/>
        <v>0.22780546595636042</v>
      </c>
    </row>
    <row r="49" spans="1:28" x14ac:dyDescent="0.3">
      <c r="A49">
        <f t="shared" si="16"/>
        <v>0.609375</v>
      </c>
      <c r="B49">
        <f t="shared" si="18"/>
        <v>0.25342679996966916</v>
      </c>
      <c r="C49">
        <f t="shared" si="18"/>
        <v>0.49784922715308649</v>
      </c>
      <c r="D49">
        <f t="shared" si="18"/>
        <v>0.55168854082736696</v>
      </c>
      <c r="E49">
        <f t="shared" si="18"/>
        <v>0.55291112172109158</v>
      </c>
      <c r="F49">
        <f t="shared" si="11"/>
        <v>0.54369056951300043</v>
      </c>
      <c r="H49">
        <f t="shared" si="17"/>
        <v>0.609375</v>
      </c>
      <c r="I49">
        <f t="shared" si="12"/>
        <v>1.0741841030894985</v>
      </c>
      <c r="J49">
        <f t="shared" si="1"/>
        <v>1.139622966605379</v>
      </c>
      <c r="K49">
        <f t="shared" si="2"/>
        <v>1.1653364391201155</v>
      </c>
      <c r="L49">
        <f t="shared" si="3"/>
        <v>1.1045711430327381</v>
      </c>
      <c r="M49">
        <f t="shared" si="13"/>
        <v>0.94000725849147115</v>
      </c>
      <c r="N49">
        <f t="shared" si="14"/>
        <v>0.94057892120268949</v>
      </c>
      <c r="O49">
        <f t="shared" si="4"/>
        <v>0.96950510799632073</v>
      </c>
      <c r="P49">
        <f t="shared" si="5"/>
        <v>1.1456755368617719</v>
      </c>
      <c r="Q49">
        <f t="shared" si="6"/>
        <v>2.0548365984796151</v>
      </c>
      <c r="R49" t="e">
        <v>#N/A</v>
      </c>
      <c r="S49" cm="1">
        <f t="array" ref="S49">GompMean(N49,0)/B$5</f>
        <v>9.0138387702755604E-2</v>
      </c>
      <c r="T49" cm="1">
        <f t="array" ref="T49">GompMean(O49,0)/C$5</f>
        <v>0.19870270470010082</v>
      </c>
      <c r="U49" cm="1">
        <f t="array" ref="U49">GompMean(P49,0)/D$5</f>
        <v>0.36858624735273304</v>
      </c>
      <c r="V49" cm="1">
        <f t="array" ref="V49">GompMean(Q49,0)/E$5</f>
        <v>0.63924396418528151</v>
      </c>
      <c r="W49">
        <v>1</v>
      </c>
      <c r="X49">
        <f t="shared" si="15"/>
        <v>0.54518652703427573</v>
      </c>
      <c r="Y49">
        <f t="shared" si="7"/>
        <v>0.47721653464629687</v>
      </c>
      <c r="Z49">
        <f t="shared" si="8"/>
        <v>0.40081145059654355</v>
      </c>
      <c r="AA49">
        <f t="shared" si="9"/>
        <v>0.3188222237429611</v>
      </c>
      <c r="AB49">
        <f t="shared" si="10"/>
        <v>0.24218466465176913</v>
      </c>
    </row>
    <row r="50" spans="1:28" x14ac:dyDescent="0.3">
      <c r="A50">
        <f t="shared" si="16"/>
        <v>0.625</v>
      </c>
      <c r="B50">
        <f t="shared" ref="B50:E69" si="19">B$5*B$4*EXP(B$5*$A50-B$4*(EXP(B$5*$A50)-1))</f>
        <v>0.28102866499876039</v>
      </c>
      <c r="C50">
        <f t="shared" si="19"/>
        <v>0.51740061715041208</v>
      </c>
      <c r="D50">
        <f t="shared" si="19"/>
        <v>0.55793917960249939</v>
      </c>
      <c r="E50">
        <f t="shared" si="19"/>
        <v>0.55019686494558839</v>
      </c>
      <c r="F50">
        <f t="shared" si="11"/>
        <v>0.53526142851899028</v>
      </c>
      <c r="H50">
        <f t="shared" si="17"/>
        <v>0.625</v>
      </c>
      <c r="I50">
        <f t="shared" si="12"/>
        <v>1.0803465503327461</v>
      </c>
      <c r="J50">
        <f t="shared" si="1"/>
        <v>1.1530811392959204</v>
      </c>
      <c r="K50">
        <f t="shared" si="2"/>
        <v>1.1890920461938321</v>
      </c>
      <c r="L50">
        <f t="shared" si="3"/>
        <v>1.1401047333646903</v>
      </c>
      <c r="M50">
        <f t="shared" si="13"/>
        <v>0.98082925301172619</v>
      </c>
      <c r="N50">
        <f t="shared" si="14"/>
        <v>0.98140091572294275</v>
      </c>
      <c r="O50">
        <f t="shared" si="4"/>
        <v>1.0103271025165756</v>
      </c>
      <c r="P50">
        <f t="shared" si="5"/>
        <v>1.1864975313820267</v>
      </c>
      <c r="Q50">
        <f t="shared" si="6"/>
        <v>2.0956585929998703</v>
      </c>
      <c r="R50" t="e">
        <v>#N/A</v>
      </c>
      <c r="S50" cm="1">
        <f t="array" ref="S50">GompMean(N50,0)/B$5</f>
        <v>8.7603286677391187E-2</v>
      </c>
      <c r="T50" cm="1">
        <f t="array" ref="T50">GompMean(O50,0)/C$5</f>
        <v>0.19324341301620421</v>
      </c>
      <c r="U50" cm="1">
        <f t="array" ref="U50">GompMean(P50,0)/D$5</f>
        <v>0.35969397130936143</v>
      </c>
      <c r="V50" cm="1">
        <f t="array" ref="V50">GompMean(Q50,0)/E$5</f>
        <v>0.62960786532843793</v>
      </c>
      <c r="W50">
        <v>1</v>
      </c>
      <c r="X50">
        <f t="shared" si="15"/>
        <v>0.56201881112119856</v>
      </c>
      <c r="Y50">
        <f t="shared" si="7"/>
        <v>0.49512829288295324</v>
      </c>
      <c r="Z50">
        <f t="shared" si="8"/>
        <v>0.41920524343630239</v>
      </c>
      <c r="AA50">
        <f t="shared" si="9"/>
        <v>0.33635777549007695</v>
      </c>
      <c r="AB50">
        <f t="shared" si="10"/>
        <v>0.25718903012060268</v>
      </c>
    </row>
    <row r="51" spans="1:28" x14ac:dyDescent="0.3">
      <c r="A51">
        <f t="shared" si="16"/>
        <v>0.640625</v>
      </c>
      <c r="B51">
        <f t="shared" si="19"/>
        <v>0.31148294057371684</v>
      </c>
      <c r="C51">
        <f t="shared" si="19"/>
        <v>0.53747291046483314</v>
      </c>
      <c r="D51">
        <f t="shared" si="19"/>
        <v>0.56410605136069536</v>
      </c>
      <c r="E51">
        <f t="shared" si="19"/>
        <v>0.54743138616175868</v>
      </c>
      <c r="F51">
        <f t="shared" si="11"/>
        <v>0.52696296924337094</v>
      </c>
      <c r="H51">
        <f t="shared" si="17"/>
        <v>0.640625</v>
      </c>
      <c r="I51">
        <f t="shared" si="12"/>
        <v>1.0865041683274559</v>
      </c>
      <c r="J51">
        <f t="shared" si="1"/>
        <v>1.166545128729545</v>
      </c>
      <c r="K51">
        <f t="shared" si="2"/>
        <v>1.2130039462553854</v>
      </c>
      <c r="L51">
        <f t="shared" si="3"/>
        <v>1.1764213079023138</v>
      </c>
      <c r="M51">
        <f t="shared" si="13"/>
        <v>1.0233888674305223</v>
      </c>
      <c r="N51">
        <f t="shared" si="14"/>
        <v>1.0239605301417394</v>
      </c>
      <c r="O51">
        <f t="shared" si="4"/>
        <v>1.0528867169353713</v>
      </c>
      <c r="P51">
        <f t="shared" si="5"/>
        <v>1.2290571458008226</v>
      </c>
      <c r="Q51">
        <f t="shared" si="6"/>
        <v>2.1382182074186664</v>
      </c>
      <c r="R51" t="e">
        <v>#N/A</v>
      </c>
      <c r="S51" cm="1">
        <f t="array" ref="S51">GompMean(N51,0)/B$5</f>
        <v>8.5120648340818866E-2</v>
      </c>
      <c r="T51" cm="1">
        <f t="array" ref="T51">GompMean(O51,0)/C$5</f>
        <v>0.18788867894510897</v>
      </c>
      <c r="U51" cm="1">
        <f t="array" ref="U51">GompMean(P51,0)/D$5</f>
        <v>0.3509017495548396</v>
      </c>
      <c r="V51" cm="1">
        <f t="array" ref="V51">GompMean(Q51,0)/E$5</f>
        <v>0.61987900952576713</v>
      </c>
      <c r="W51">
        <v>1</v>
      </c>
      <c r="X51">
        <f t="shared" si="15"/>
        <v>0.57894733150983879</v>
      </c>
      <c r="Y51">
        <f t="shared" si="7"/>
        <v>0.51325035036692124</v>
      </c>
      <c r="Z51">
        <f t="shared" si="8"/>
        <v>0.43797139056820034</v>
      </c>
      <c r="AA51">
        <f t="shared" si="9"/>
        <v>0.35445457342428344</v>
      </c>
      <c r="AB51">
        <f t="shared" si="10"/>
        <v>0.27284462576715607</v>
      </c>
    </row>
    <row r="52" spans="1:28" x14ac:dyDescent="0.3">
      <c r="A52">
        <f t="shared" si="16"/>
        <v>0.65625</v>
      </c>
      <c r="B52">
        <f t="shared" si="19"/>
        <v>0.34504766062867959</v>
      </c>
      <c r="C52">
        <f t="shared" si="19"/>
        <v>0.558054952006519</v>
      </c>
      <c r="D52">
        <f t="shared" si="19"/>
        <v>0.57018119308791826</v>
      </c>
      <c r="E52">
        <f t="shared" si="19"/>
        <v>0.54461503542142065</v>
      </c>
      <c r="F52">
        <f t="shared" si="11"/>
        <v>0.51879316565388933</v>
      </c>
      <c r="H52">
        <f t="shared" si="17"/>
        <v>0.65625</v>
      </c>
      <c r="I52">
        <f t="shared" si="12"/>
        <v>1.0926680993267044</v>
      </c>
      <c r="J52">
        <f t="shared" si="1"/>
        <v>1.1800386601756749</v>
      </c>
      <c r="K52">
        <f t="shared" si="2"/>
        <v>1.2371106286701927</v>
      </c>
      <c r="L52">
        <f t="shared" si="3"/>
        <v>1.2135886976908279</v>
      </c>
      <c r="M52">
        <f t="shared" si="13"/>
        <v>1.0678406300013561</v>
      </c>
      <c r="N52">
        <f t="shared" si="14"/>
        <v>1.0684122927125725</v>
      </c>
      <c r="O52">
        <f t="shared" si="4"/>
        <v>1.0973384795062051</v>
      </c>
      <c r="P52">
        <f t="shared" si="5"/>
        <v>1.2735089083716569</v>
      </c>
      <c r="Q52">
        <f t="shared" si="6"/>
        <v>2.1826699699895</v>
      </c>
      <c r="R52" t="e">
        <v>#N/A</v>
      </c>
      <c r="S52" cm="1">
        <f t="array" ref="S52">GompMean(N52,0)/B$5</f>
        <v>8.2685794015651959E-2</v>
      </c>
      <c r="T52" cm="1">
        <f t="array" ref="T52">GompMean(O52,0)/C$5</f>
        <v>0.18262902918547994</v>
      </c>
      <c r="U52" cm="1">
        <f t="array" ref="U52">GompMean(P52,0)/D$5</f>
        <v>0.34219808218494002</v>
      </c>
      <c r="V52" cm="1">
        <f t="array" ref="V52">GompMean(Q52,0)/E$5</f>
        <v>0.61004658612982188</v>
      </c>
      <c r="W52">
        <v>1</v>
      </c>
      <c r="X52">
        <f t="shared" si="15"/>
        <v>0.59597209916356497</v>
      </c>
      <c r="Y52">
        <f t="shared" si="7"/>
        <v>0.53158298178210295</v>
      </c>
      <c r="Z52">
        <f t="shared" si="8"/>
        <v>0.45711263064354812</v>
      </c>
      <c r="AA52">
        <f t="shared" si="9"/>
        <v>0.37312537118665168</v>
      </c>
      <c r="AB52">
        <f t="shared" si="10"/>
        <v>0.28917978343703377</v>
      </c>
    </row>
    <row r="53" spans="1:28" x14ac:dyDescent="0.3">
      <c r="A53">
        <f t="shared" si="16"/>
        <v>0.671875</v>
      </c>
      <c r="B53">
        <f t="shared" si="19"/>
        <v>0.3819952129521052</v>
      </c>
      <c r="C53">
        <f t="shared" si="19"/>
        <v>0.5791323669499906</v>
      </c>
      <c r="D53">
        <f t="shared" si="19"/>
        <v>0.57615642900337249</v>
      </c>
      <c r="E53">
        <f t="shared" si="19"/>
        <v>0.54174818283125081</v>
      </c>
      <c r="F53">
        <f t="shared" si="11"/>
        <v>0.51075002312901074</v>
      </c>
      <c r="H53">
        <f t="shared" si="17"/>
        <v>0.671875</v>
      </c>
      <c r="I53">
        <f t="shared" si="12"/>
        <v>1.0988500537813419</v>
      </c>
      <c r="J53">
        <f t="shared" si="1"/>
        <v>1.1935868387648541</v>
      </c>
      <c r="K53">
        <f t="shared" si="2"/>
        <v>1.2614540813981647</v>
      </c>
      <c r="L53">
        <f t="shared" si="3"/>
        <v>1.2516834374644688</v>
      </c>
      <c r="M53">
        <f t="shared" si="13"/>
        <v>1.1143606456362489</v>
      </c>
      <c r="N53">
        <f t="shared" si="14"/>
        <v>1.1149323083474658</v>
      </c>
      <c r="O53">
        <f t="shared" si="4"/>
        <v>1.1438584951410986</v>
      </c>
      <c r="P53">
        <f t="shared" si="5"/>
        <v>1.3200289240065495</v>
      </c>
      <c r="Q53">
        <f t="shared" si="6"/>
        <v>2.2291899856243931</v>
      </c>
      <c r="R53" t="e">
        <v>#N/A</v>
      </c>
      <c r="S53" cm="1">
        <f t="array" ref="S53">GompMean(N53,0)/B$5</f>
        <v>8.0294164564845852E-2</v>
      </c>
      <c r="T53" cm="1">
        <f t="array" ref="T53">GompMean(O53,0)/C$5</f>
        <v>0.17745516410407494</v>
      </c>
      <c r="U53" cm="1">
        <f t="array" ref="U53">GompMean(P53,0)/D$5</f>
        <v>0.33357119811917496</v>
      </c>
      <c r="V53" cm="1">
        <f t="array" ref="V53">GompMean(Q53,0)/E$5</f>
        <v>0.60009851029404115</v>
      </c>
      <c r="W53">
        <v>1</v>
      </c>
      <c r="X53">
        <f t="shared" si="15"/>
        <v>0.6130933033551571</v>
      </c>
      <c r="Y53">
        <f t="shared" si="7"/>
        <v>0.55012684280863267</v>
      </c>
      <c r="Z53">
        <f t="shared" si="8"/>
        <v>0.47663233015837292</v>
      </c>
      <c r="AA53">
        <f t="shared" si="9"/>
        <v>0.39238404839173902</v>
      </c>
      <c r="AB53">
        <f t="shared" si="10"/>
        <v>0.30622541315060581</v>
      </c>
    </row>
    <row r="54" spans="1:28" x14ac:dyDescent="0.3">
      <c r="A54">
        <f t="shared" si="16"/>
        <v>0.6875</v>
      </c>
      <c r="B54">
        <f t="shared" si="19"/>
        <v>0.42261072310709852</v>
      </c>
      <c r="C54">
        <f t="shared" si="19"/>
        <v>0.60068726876462153</v>
      </c>
      <c r="D54">
        <f t="shared" si="19"/>
        <v>0.58202337572461393</v>
      </c>
      <c r="E54">
        <f t="shared" si="19"/>
        <v>0.53883121864490657</v>
      </c>
      <c r="F54">
        <f t="shared" si="11"/>
        <v>0.50283157797094091</v>
      </c>
      <c r="H54">
        <f t="shared" si="17"/>
        <v>0.6875</v>
      </c>
      <c r="I54">
        <f t="shared" si="12"/>
        <v>1.1050624998425074</v>
      </c>
      <c r="J54">
        <f t="shared" si="1"/>
        <v>1.2072165610124874</v>
      </c>
      <c r="K54">
        <f t="shared" si="2"/>
        <v>1.2860805435777123</v>
      </c>
      <c r="L54">
        <f t="shared" si="3"/>
        <v>1.2907923800128971</v>
      </c>
      <c r="M54">
        <f t="shared" si="13"/>
        <v>1.1631508098056809</v>
      </c>
      <c r="N54">
        <f t="shared" si="14"/>
        <v>1.163722472516898</v>
      </c>
      <c r="O54">
        <f t="shared" si="4"/>
        <v>1.1926486593105301</v>
      </c>
      <c r="P54">
        <f t="shared" si="5"/>
        <v>1.3688190881759812</v>
      </c>
      <c r="Q54">
        <f t="shared" si="6"/>
        <v>2.2779801497938248</v>
      </c>
      <c r="R54" t="e">
        <v>#N/A</v>
      </c>
      <c r="S54" cm="1">
        <f t="array" ref="S54">GompMean(N54,0)/B$5</f>
        <v>7.7941269805707522E-2</v>
      </c>
      <c r="T54" cm="1">
        <f t="array" ref="T54">GompMean(O54,0)/C$5</f>
        <v>0.17235785560993128</v>
      </c>
      <c r="U54" cm="1">
        <f t="array" ref="U54">GompMean(P54,0)/D$5</f>
        <v>0.32500891626086498</v>
      </c>
      <c r="V54" cm="1">
        <f t="array" ref="V54">GompMean(Q54,0)/E$5</f>
        <v>0.5900211918795879</v>
      </c>
      <c r="W54">
        <v>1</v>
      </c>
      <c r="X54">
        <f t="shared" si="15"/>
        <v>0.63031132198493278</v>
      </c>
      <c r="Y54">
        <f t="shared" si="7"/>
        <v>0.5688829948054942</v>
      </c>
      <c r="Z54">
        <f t="shared" si="8"/>
        <v>0.49653454380044459</v>
      </c>
      <c r="AA54">
        <f t="shared" si="9"/>
        <v>0.41224575878359848</v>
      </c>
      <c r="AB54">
        <f t="shared" si="10"/>
        <v>0.32401537193572461</v>
      </c>
    </row>
    <row r="55" spans="1:28" x14ac:dyDescent="0.3">
      <c r="A55">
        <f t="shared" si="16"/>
        <v>0.703125</v>
      </c>
      <c r="B55">
        <f t="shared" si="19"/>
        <v>0.46718960259571779</v>
      </c>
      <c r="C55">
        <f t="shared" si="19"/>
        <v>0.62269795595843958</v>
      </c>
      <c r="D55">
        <f t="shared" si="19"/>
        <v>0.58777344833742973</v>
      </c>
      <c r="E55">
        <f t="shared" si="19"/>
        <v>0.53586455334393757</v>
      </c>
      <c r="F55">
        <f t="shared" si="11"/>
        <v>0.49503589692619859</v>
      </c>
      <c r="H55">
        <f t="shared" si="17"/>
        <v>0.703125</v>
      </c>
      <c r="I55">
        <f t="shared" si="12"/>
        <v>1.111318889176633</v>
      </c>
      <c r="J55">
        <f t="shared" si="1"/>
        <v>1.2209570091652211</v>
      </c>
      <c r="K55">
        <f t="shared" si="2"/>
        <v>1.3110414328878823</v>
      </c>
      <c r="L55">
        <f t="shared" si="3"/>
        <v>1.331014707834044</v>
      </c>
      <c r="M55">
        <f t="shared" si="13"/>
        <v>1.2144441041932315</v>
      </c>
      <c r="N55">
        <f t="shared" si="14"/>
        <v>1.215015766904449</v>
      </c>
      <c r="O55">
        <f t="shared" si="4"/>
        <v>1.2439419536980809</v>
      </c>
      <c r="P55">
        <f t="shared" si="5"/>
        <v>1.4201123825635322</v>
      </c>
      <c r="Q55">
        <f t="shared" si="6"/>
        <v>2.3292734441813758</v>
      </c>
      <c r="R55" t="e">
        <v>#N/A</v>
      </c>
      <c r="S55" cm="1">
        <f t="array" ref="S55">GompMean(N55,0)/B$5</f>
        <v>7.5622634598249472E-2</v>
      </c>
      <c r="T55" cm="1">
        <f t="array" ref="T55">GompMean(O55,0)/C$5</f>
        <v>0.16732783617774472</v>
      </c>
      <c r="U55" cm="1">
        <f t="array" ref="U55">GompMean(P55,0)/D$5</f>
        <v>0.31649848169114303</v>
      </c>
      <c r="V55" cm="1">
        <f t="array" ref="V55">GompMean(Q55,0)/E$5</f>
        <v>0.57979924894073653</v>
      </c>
      <c r="W55">
        <v>1</v>
      </c>
      <c r="X55">
        <f t="shared" si="15"/>
        <v>0.64762673512933167</v>
      </c>
      <c r="Y55">
        <f t="shared" si="7"/>
        <v>0.58785293653880699</v>
      </c>
      <c r="Z55">
        <f t="shared" si="8"/>
        <v>0.51682408785935174</v>
      </c>
      <c r="AA55">
        <f t="shared" si="9"/>
        <v>0.43272710658248703</v>
      </c>
      <c r="AB55">
        <f t="shared" si="10"/>
        <v>0.34258690656763446</v>
      </c>
    </row>
    <row r="56" spans="1:28" x14ac:dyDescent="0.3">
      <c r="A56">
        <f t="shared" si="16"/>
        <v>0.71875</v>
      </c>
      <c r="B56">
        <f t="shared" si="19"/>
        <v>0.51603405516508627</v>
      </c>
      <c r="C56">
        <f t="shared" si="19"/>
        <v>0.6451385990476598</v>
      </c>
      <c r="D56">
        <f t="shared" si="19"/>
        <v>0.59339786741740808</v>
      </c>
      <c r="E56">
        <f t="shared" si="19"/>
        <v>0.53284861770716974</v>
      </c>
      <c r="F56">
        <f t="shared" si="11"/>
        <v>0.48736107671361911</v>
      </c>
      <c r="H56">
        <f t="shared" si="17"/>
        <v>0.71875</v>
      </c>
      <c r="I56">
        <f t="shared" si="12"/>
        <v>1.1176339318397392</v>
      </c>
      <c r="J56">
        <f t="shared" si="1"/>
        <v>1.234840256640708</v>
      </c>
      <c r="K56">
        <f t="shared" si="2"/>
        <v>1.3363945033246356</v>
      </c>
      <c r="L56">
        <f t="shared" si="3"/>
        <v>1.3724644666906214</v>
      </c>
      <c r="M56">
        <f t="shared" si="13"/>
        <v>1.2685113254635072</v>
      </c>
      <c r="N56">
        <f t="shared" si="14"/>
        <v>1.2690829881747252</v>
      </c>
      <c r="O56">
        <f t="shared" si="4"/>
        <v>1.2980091749683562</v>
      </c>
      <c r="P56">
        <f t="shared" si="5"/>
        <v>1.4741796038338078</v>
      </c>
      <c r="Q56">
        <f t="shared" si="6"/>
        <v>2.3833406654516516</v>
      </c>
      <c r="R56" t="e">
        <v>#N/A</v>
      </c>
      <c r="S56" cm="1">
        <f t="array" ref="S56">GompMean(N56,0)/B$5</f>
        <v>7.3333739335731965E-2</v>
      </c>
      <c r="T56" cm="1">
        <f t="array" ref="T56">GompMean(O56,0)/C$5</f>
        <v>0.16235567417013494</v>
      </c>
      <c r="U56" cm="1">
        <f t="array" ref="U56">GompMean(P56,0)/D$5</f>
        <v>0.30802636834740132</v>
      </c>
      <c r="V56" cm="1">
        <f t="array" ref="V56">GompMean(Q56,0)/E$5</f>
        <v>0.56941514877057053</v>
      </c>
      <c r="W56">
        <v>1</v>
      </c>
      <c r="X56">
        <f t="shared" si="15"/>
        <v>0.66504034248189869</v>
      </c>
      <c r="Y56">
        <f t="shared" si="7"/>
        <v>0.60703864445945044</v>
      </c>
      <c r="Z56">
        <f t="shared" si="8"/>
        <v>0.53750662984223962</v>
      </c>
      <c r="AA56">
        <f t="shared" si="9"/>
        <v>0.45384635815153973</v>
      </c>
      <c r="AB56">
        <f t="shared" si="10"/>
        <v>0.36198118971338866</v>
      </c>
    </row>
    <row r="57" spans="1:28" x14ac:dyDescent="0.3">
      <c r="A57">
        <f t="shared" si="16"/>
        <v>0.734375</v>
      </c>
      <c r="B57">
        <f t="shared" si="19"/>
        <v>0.56944830062092633</v>
      </c>
      <c r="C57">
        <f t="shared" si="19"/>
        <v>0.66797891967995815</v>
      </c>
      <c r="D57">
        <f t="shared" si="19"/>
        <v>0.59888766704996366</v>
      </c>
      <c r="E57">
        <f t="shared" si="19"/>
        <v>0.52978386286824675</v>
      </c>
      <c r="F57">
        <f t="shared" si="11"/>
        <v>0.47980524355967752</v>
      </c>
      <c r="H57">
        <f t="shared" si="17"/>
        <v>0.734375</v>
      </c>
      <c r="I57">
        <f t="shared" si="12"/>
        <v>1.1240239376696382</v>
      </c>
      <c r="J57">
        <f t="shared" si="1"/>
        <v>1.248902023412116</v>
      </c>
      <c r="K57">
        <f t="shared" si="2"/>
        <v>1.3622053104659961</v>
      </c>
      <c r="L57">
        <f t="shared" si="3"/>
        <v>1.415273794150514</v>
      </c>
      <c r="M57">
        <f t="shared" si="13"/>
        <v>1.3256697393034558</v>
      </c>
      <c r="N57">
        <f t="shared" si="14"/>
        <v>1.326241402014674</v>
      </c>
      <c r="O57">
        <f t="shared" si="4"/>
        <v>1.3551675888083057</v>
      </c>
      <c r="P57">
        <f t="shared" si="5"/>
        <v>1.5313380176737563</v>
      </c>
      <c r="Q57">
        <f t="shared" si="6"/>
        <v>2.4404990792915999</v>
      </c>
      <c r="R57" t="e">
        <v>#N/A</v>
      </c>
      <c r="S57" cm="1">
        <f t="array" ref="S57">GompMean(N57,0)/B$5</f>
        <v>7.1069951903115922E-2</v>
      </c>
      <c r="T57" cm="1">
        <f t="array" ref="T57">GompMean(O57,0)/C$5</f>
        <v>0.15743162909484376</v>
      </c>
      <c r="U57" cm="1">
        <f t="array" ref="U57">GompMean(P57,0)/D$5</f>
        <v>0.29957803649263254</v>
      </c>
      <c r="V57" cm="1">
        <f t="array" ref="V57">GompMean(Q57,0)/E$5</f>
        <v>0.55884875299421888</v>
      </c>
      <c r="W57">
        <v>1</v>
      </c>
      <c r="X57">
        <f t="shared" si="15"/>
        <v>0.68255318558223721</v>
      </c>
      <c r="Y57">
        <f t="shared" si="7"/>
        <v>0.62644262355283886</v>
      </c>
      <c r="Z57">
        <f t="shared" si="8"/>
        <v>0.55858879846411424</v>
      </c>
      <c r="AA57">
        <f t="shared" si="9"/>
        <v>0.47562369841468033</v>
      </c>
      <c r="AB57">
        <f t="shared" si="10"/>
        <v>0.38224397549751954</v>
      </c>
    </row>
    <row r="58" spans="1:28" x14ac:dyDescent="0.3">
      <c r="A58">
        <f t="shared" si="16"/>
        <v>0.75</v>
      </c>
      <c r="B58">
        <f t="shared" si="19"/>
        <v>0.62773223941900635</v>
      </c>
      <c r="C58">
        <f t="shared" si="19"/>
        <v>0.69118386430799472</v>
      </c>
      <c r="D58">
        <f t="shared" si="19"/>
        <v>0.60423370389515096</v>
      </c>
      <c r="E58">
        <f t="shared" si="19"/>
        <v>0.52667076036101967</v>
      </c>
      <c r="F58">
        <f t="shared" si="11"/>
        <v>0.47236655274101469</v>
      </c>
      <c r="H58">
        <f t="shared" si="17"/>
        <v>0.75</v>
      </c>
      <c r="I58">
        <f t="shared" si="12"/>
        <v>1.1305072486283203</v>
      </c>
      <c r="J58">
        <f t="shared" si="1"/>
        <v>1.2631826358220632</v>
      </c>
      <c r="K58">
        <f t="shared" si="2"/>
        <v>1.3885490928714659</v>
      </c>
      <c r="L58">
        <f t="shared" si="3"/>
        <v>1.4595970875898046</v>
      </c>
      <c r="M58">
        <f t="shared" si="13"/>
        <v>1.3862943611198906</v>
      </c>
      <c r="N58">
        <f t="shared" si="14"/>
        <v>1.386866023831107</v>
      </c>
      <c r="O58">
        <f t="shared" si="4"/>
        <v>1.4157922106247398</v>
      </c>
      <c r="P58">
        <f t="shared" si="5"/>
        <v>1.5919626394901909</v>
      </c>
      <c r="Q58">
        <f t="shared" si="6"/>
        <v>2.5011237011080349</v>
      </c>
      <c r="R58" t="e">
        <v>#N/A</v>
      </c>
      <c r="S58" cm="1">
        <f t="array" ref="S58">GompMean(N58,0)/B$5</f>
        <v>6.8826447163066504E-2</v>
      </c>
      <c r="T58" cm="1">
        <f t="array" ref="T58">GompMean(O58,0)/C$5</f>
        <v>0.15254547815893443</v>
      </c>
      <c r="U58" cm="1">
        <f t="array" ref="U58">GompMean(P58,0)/D$5</f>
        <v>0.29113762866334525</v>
      </c>
      <c r="V58" cm="1">
        <f t="array" ref="V58">GompMean(Q58,0)/E$5</f>
        <v>0.54807673368037546</v>
      </c>
      <c r="W58">
        <v>1</v>
      </c>
      <c r="X58">
        <f t="shared" si="15"/>
        <v>0.70016657605215338</v>
      </c>
      <c r="Y58">
        <f t="shared" si="7"/>
        <v>0.64606797150475059</v>
      </c>
      <c r="Z58">
        <f t="shared" si="8"/>
        <v>0.58007831961629719</v>
      </c>
      <c r="AA58">
        <f t="shared" si="9"/>
        <v>0.49808154468245502</v>
      </c>
      <c r="AB58">
        <f t="shared" si="10"/>
        <v>0.4034264097200273</v>
      </c>
    </row>
    <row r="59" spans="1:28" x14ac:dyDescent="0.3">
      <c r="A59">
        <f t="shared" si="16"/>
        <v>0.765625</v>
      </c>
      <c r="B59">
        <f t="shared" si="19"/>
        <v>0.6911732455011339</v>
      </c>
      <c r="C59">
        <f t="shared" si="19"/>
        <v>0.71471327533349505</v>
      </c>
      <c r="D59">
        <f t="shared" si="19"/>
        <v>0.60942666734286965</v>
      </c>
      <c r="E59">
        <f t="shared" si="19"/>
        <v>0.52350980215247944</v>
      </c>
      <c r="F59">
        <f t="shared" si="11"/>
        <v>0.46504318813405632</v>
      </c>
      <c r="H59">
        <f t="shared" si="17"/>
        <v>0.765625</v>
      </c>
      <c r="I59">
        <f t="shared" si="12"/>
        <v>1.1371047970358248</v>
      </c>
      <c r="J59">
        <f t="shared" si="1"/>
        <v>1.2777282688476721</v>
      </c>
      <c r="K59">
        <f t="shared" si="2"/>
        <v>1.4155132257053975</v>
      </c>
      <c r="L59">
        <f t="shared" si="3"/>
        <v>1.5056164635112375</v>
      </c>
      <c r="M59">
        <f t="shared" si="13"/>
        <v>1.4508328822574619</v>
      </c>
      <c r="N59">
        <f t="shared" si="14"/>
        <v>1.451404544968677</v>
      </c>
      <c r="O59">
        <f t="shared" si="4"/>
        <v>1.4803307317623118</v>
      </c>
      <c r="P59">
        <f t="shared" si="5"/>
        <v>1.6565011606277622</v>
      </c>
      <c r="Q59">
        <f t="shared" si="6"/>
        <v>2.5656622222456065</v>
      </c>
      <c r="R59" t="e">
        <v>#N/A</v>
      </c>
      <c r="S59" cm="1">
        <f t="array" ref="S59">GompMean(N59,0)/B$5</f>
        <v>6.6598108494455466E-2</v>
      </c>
      <c r="T59" cm="1">
        <f t="array" ref="T59">GompMean(O59,0)/C$5</f>
        <v>0.14768630203439007</v>
      </c>
      <c r="U59" cm="1">
        <f t="array" ref="U59">GompMean(P59,0)/D$5</f>
        <v>0.28268758086894746</v>
      </c>
      <c r="V59" cm="1">
        <f t="array" ref="V59">GompMean(Q59,0)/E$5</f>
        <v>0.53707181321256703</v>
      </c>
      <c r="W59">
        <v>1</v>
      </c>
      <c r="X59">
        <f t="shared" si="15"/>
        <v>0.71788213151634062</v>
      </c>
      <c r="Y59">
        <f t="shared" si="7"/>
        <v>0.66591845994951671</v>
      </c>
      <c r="Z59">
        <f t="shared" si="8"/>
        <v>0.60198418595913794</v>
      </c>
      <c r="AA59">
        <f t="shared" si="9"/>
        <v>0.5212449351428583</v>
      </c>
      <c r="AB59">
        <f t="shared" si="10"/>
        <v>0.42558604322090732</v>
      </c>
    </row>
    <row r="60" spans="1:28" x14ac:dyDescent="0.3">
      <c r="A60">
        <f t="shared" si="16"/>
        <v>0.78125</v>
      </c>
      <c r="B60">
        <f t="shared" si="19"/>
        <v>0.76003574222415848</v>
      </c>
      <c r="C60">
        <f t="shared" si="19"/>
        <v>0.73852156322295426</v>
      </c>
      <c r="D60">
        <f t="shared" si="19"/>
        <v>0.61445709080302158</v>
      </c>
      <c r="E60">
        <f t="shared" si="19"/>
        <v>0.52030150066292724</v>
      </c>
      <c r="F60">
        <f t="shared" si="11"/>
        <v>0.45783336177161427</v>
      </c>
      <c r="H60">
        <f t="shared" si="17"/>
        <v>0.78125</v>
      </c>
      <c r="I60">
        <f t="shared" si="12"/>
        <v>1.1438408408160792</v>
      </c>
      <c r="J60">
        <f t="shared" si="1"/>
        <v>1.2925925850567526</v>
      </c>
      <c r="K60">
        <f t="shared" si="2"/>
        <v>1.4432004756112973</v>
      </c>
      <c r="L60">
        <f t="shared" si="3"/>
        <v>1.5535490252489466</v>
      </c>
      <c r="M60">
        <f t="shared" si="13"/>
        <v>1.5198257537444133</v>
      </c>
      <c r="N60">
        <f t="shared" si="14"/>
        <v>1.5203974164556293</v>
      </c>
      <c r="O60">
        <f t="shared" si="4"/>
        <v>1.5493236032492628</v>
      </c>
      <c r="P60">
        <f t="shared" si="5"/>
        <v>1.7254940321147139</v>
      </c>
      <c r="Q60">
        <f t="shared" si="6"/>
        <v>2.6346550937325577</v>
      </c>
      <c r="R60" t="e">
        <v>#N/A</v>
      </c>
      <c r="S60" cm="1">
        <f t="array" ref="S60">GompMean(N60,0)/B$5</f>
        <v>6.4379403535844565E-2</v>
      </c>
      <c r="T60" cm="1">
        <f t="array" ref="T60">GompMean(O60,0)/C$5</f>
        <v>0.14284221243752371</v>
      </c>
      <c r="U60" cm="1">
        <f t="array" ref="U60">GompMean(P60,0)/D$5</f>
        <v>0.27420811523674715</v>
      </c>
      <c r="V60" cm="1">
        <f t="array" ref="V60">GompMean(Q60,0)/E$5</f>
        <v>0.52580175889767145</v>
      </c>
      <c r="W60">
        <v>1</v>
      </c>
      <c r="X60">
        <f t="shared" si="15"/>
        <v>0.73570182154801667</v>
      </c>
      <c r="Y60">
        <f t="shared" si="7"/>
        <v>0.68599863804812711</v>
      </c>
      <c r="Z60">
        <f t="shared" si="8"/>
        <v>0.62431687075199027</v>
      </c>
      <c r="AA60">
        <f t="shared" si="9"/>
        <v>0.54514201596792722</v>
      </c>
      <c r="AB60">
        <f t="shared" si="10"/>
        <v>0.44878811636840954</v>
      </c>
    </row>
    <row r="61" spans="1:28" x14ac:dyDescent="0.3">
      <c r="A61">
        <f t="shared" si="16"/>
        <v>0.796875</v>
      </c>
      <c r="B61">
        <f t="shared" si="19"/>
        <v>0.83454819108084155</v>
      </c>
      <c r="C61">
        <f t="shared" si="19"/>
        <v>0.76255738373434956</v>
      </c>
      <c r="D61">
        <f t="shared" si="19"/>
        <v>0.61931536417377375</v>
      </c>
      <c r="E61">
        <f t="shared" si="19"/>
        <v>0.51704638877308851</v>
      </c>
      <c r="F61">
        <f t="shared" si="11"/>
        <v>0.45073531340636241</v>
      </c>
      <c r="H61">
        <f t="shared" si="17"/>
        <v>0.796875</v>
      </c>
      <c r="I61">
        <f t="shared" si="12"/>
        <v>1.1507439524084961</v>
      </c>
      <c r="J61">
        <f t="shared" si="1"/>
        <v>1.3078389416387839</v>
      </c>
      <c r="K61">
        <f t="shared" si="2"/>
        <v>1.4717334008924232</v>
      </c>
      <c r="L61">
        <f t="shared" si="3"/>
        <v>1.6036567169672538</v>
      </c>
      <c r="M61">
        <f t="shared" si="13"/>
        <v>1.5939337258981352</v>
      </c>
      <c r="N61">
        <f t="shared" si="14"/>
        <v>1.5945053886093519</v>
      </c>
      <c r="O61">
        <f t="shared" si="4"/>
        <v>1.6234315754029844</v>
      </c>
      <c r="P61">
        <f t="shared" si="5"/>
        <v>1.7996020042684353</v>
      </c>
      <c r="Q61">
        <f t="shared" si="6"/>
        <v>2.7087630658862794</v>
      </c>
      <c r="R61" t="e">
        <v>#N/A</v>
      </c>
      <c r="S61" cm="1">
        <f t="array" ref="S61">GompMean(N61,0)/B$5</f>
        <v>6.2164222544751388E-2</v>
      </c>
      <c r="T61" cm="1">
        <f t="array" ref="T61">GompMean(O61,0)/C$5</f>
        <v>0.13799999576194968</v>
      </c>
      <c r="U61" cm="1">
        <f t="array" ref="U61">GompMean(P61,0)/D$5</f>
        <v>0.26567656370701204</v>
      </c>
      <c r="V61" cm="1">
        <f t="array" ref="V61">GompMean(Q61,0)/E$5</f>
        <v>0.51422802915096899</v>
      </c>
      <c r="W61">
        <v>1</v>
      </c>
      <c r="X61">
        <f t="shared" si="15"/>
        <v>0.75362802696262166</v>
      </c>
      <c r="Y61">
        <f t="shared" si="7"/>
        <v>0.70631396584047601</v>
      </c>
      <c r="Z61">
        <f t="shared" si="8"/>
        <v>0.64708860094073972</v>
      </c>
      <c r="AA61">
        <f t="shared" si="9"/>
        <v>0.56980466094473603</v>
      </c>
      <c r="AB61">
        <f t="shared" si="10"/>
        <v>0.47310721192694127</v>
      </c>
    </row>
    <row r="62" spans="1:28" x14ac:dyDescent="0.3">
      <c r="A62">
        <f t="shared" si="16"/>
        <v>0.8125</v>
      </c>
      <c r="B62">
        <f t="shared" si="19"/>
        <v>0.91488711131612721</v>
      </c>
      <c r="C62">
        <f t="shared" si="19"/>
        <v>0.7867633250894035</v>
      </c>
      <c r="D62">
        <f t="shared" si="19"/>
        <v>0.62399174752930309</v>
      </c>
      <c r="E62">
        <f t="shared" si="19"/>
        <v>0.51374501981787923</v>
      </c>
      <c r="F62">
        <f t="shared" si="11"/>
        <v>0.44374731008107987</v>
      </c>
      <c r="H62">
        <f t="shared" si="17"/>
        <v>0.8125</v>
      </c>
      <c r="I62">
        <f t="shared" si="12"/>
        <v>1.1578483794570704</v>
      </c>
      <c r="J62">
        <f t="shared" si="1"/>
        <v>1.3235434296665323</v>
      </c>
      <c r="K62">
        <f t="shared" si="2"/>
        <v>1.5012604277801225</v>
      </c>
      <c r="L62">
        <f t="shared" si="3"/>
        <v>1.6562599657761103</v>
      </c>
      <c r="M62">
        <f t="shared" si="13"/>
        <v>1.6739764335716716</v>
      </c>
      <c r="N62">
        <f t="shared" si="14"/>
        <v>1.67454809628289</v>
      </c>
      <c r="O62">
        <f t="shared" si="4"/>
        <v>1.7034742830765206</v>
      </c>
      <c r="P62">
        <f t="shared" si="5"/>
        <v>1.8796447119419719</v>
      </c>
      <c r="Q62">
        <f t="shared" si="6"/>
        <v>2.7888057735598162</v>
      </c>
      <c r="R62" t="e">
        <v>#N/A</v>
      </c>
      <c r="S62" cm="1">
        <f t="array" ref="S62">GompMean(N62,0)/B$5</f>
        <v>5.9945661729890048E-2</v>
      </c>
      <c r="T62" cm="1">
        <f t="array" ref="T62">GompMean(O62,0)/C$5</f>
        <v>0.13314463348778419</v>
      </c>
      <c r="U62" cm="1">
        <f t="array" ref="U62">GompMean(P62,0)/D$5</f>
        <v>0.25706644562302522</v>
      </c>
      <c r="V62" cm="1">
        <f t="array" ref="V62">GompMean(Q62,0)/E$5</f>
        <v>0.5023039129913105</v>
      </c>
      <c r="W62">
        <v>1</v>
      </c>
      <c r="X62">
        <f t="shared" si="15"/>
        <v>0.77166361727744492</v>
      </c>
      <c r="Y62">
        <f t="shared" si="7"/>
        <v>0.72687098815856566</v>
      </c>
      <c r="Z62">
        <f t="shared" si="8"/>
        <v>0.67031371123690975</v>
      </c>
      <c r="AA62">
        <f t="shared" si="9"/>
        <v>0.59526927273110863</v>
      </c>
      <c r="AB62">
        <f t="shared" si="10"/>
        <v>0.49862941870531152</v>
      </c>
    </row>
    <row r="63" spans="1:28" x14ac:dyDescent="0.3">
      <c r="A63">
        <f t="shared" si="16"/>
        <v>0.828125</v>
      </c>
      <c r="B63">
        <f t="shared" si="19"/>
        <v>1.0011577588567016</v>
      </c>
      <c r="C63">
        <f t="shared" si="19"/>
        <v>0.8110756106755227</v>
      </c>
      <c r="D63">
        <f t="shared" si="19"/>
        <v>0.62847638606620781</v>
      </c>
      <c r="E63">
        <f t="shared" si="19"/>
        <v>0.51039796756653932</v>
      </c>
      <c r="F63">
        <f t="shared" si="11"/>
        <v>0.43686764570555731</v>
      </c>
      <c r="H63">
        <f t="shared" si="17"/>
        <v>0.828125</v>
      </c>
      <c r="I63">
        <f t="shared" si="12"/>
        <v>1.1651959649384949</v>
      </c>
      <c r="J63">
        <f t="shared" si="1"/>
        <v>1.3397991653723098</v>
      </c>
      <c r="K63">
        <f t="shared" si="2"/>
        <v>1.5319644468312492</v>
      </c>
      <c r="L63">
        <f t="shared" si="3"/>
        <v>1.7117570258786341</v>
      </c>
      <c r="M63">
        <f t="shared" si="13"/>
        <v>1.7609878105613013</v>
      </c>
      <c r="N63">
        <f t="shared" si="14"/>
        <v>1.7615594732725197</v>
      </c>
      <c r="O63">
        <f t="shared" si="4"/>
        <v>1.790485660066151</v>
      </c>
      <c r="P63">
        <f t="shared" si="5"/>
        <v>1.9666560889316016</v>
      </c>
      <c r="Q63">
        <f t="shared" si="6"/>
        <v>2.8758171505494459</v>
      </c>
      <c r="R63" t="e">
        <v>#N/A</v>
      </c>
      <c r="S63" cm="1">
        <f t="array" ref="S63">GompMean(N63,0)/B$5</f>
        <v>5.7715723813476373E-2</v>
      </c>
      <c r="T63" cm="1">
        <f t="array" ref="T63">GompMean(O63,0)/C$5</f>
        <v>0.12825863754831304</v>
      </c>
      <c r="U63" cm="1">
        <f t="array" ref="U63">GompMean(P63,0)/D$5</f>
        <v>0.24834617748122886</v>
      </c>
      <c r="V63" cm="1">
        <f t="array" ref="V63">GompMean(Q63,0)/E$5</f>
        <v>0.48997191268921469</v>
      </c>
      <c r="W63">
        <v>1</v>
      </c>
      <c r="X63">
        <f t="shared" si="15"/>
        <v>0.7898120534957549</v>
      </c>
      <c r="Y63">
        <f t="shared" si="7"/>
        <v>0.74767756512301797</v>
      </c>
      <c r="Z63">
        <f t="shared" si="8"/>
        <v>0.69400911144629285</v>
      </c>
      <c r="AA63">
        <f t="shared" si="9"/>
        <v>0.62157783868365102</v>
      </c>
      <c r="AB63">
        <f t="shared" si="10"/>
        <v>0.52545522005977641</v>
      </c>
    </row>
    <row r="64" spans="1:28" x14ac:dyDescent="0.3">
      <c r="A64">
        <f t="shared" si="16"/>
        <v>0.84375</v>
      </c>
      <c r="B64">
        <f t="shared" si="19"/>
        <v>1.0933711363079175</v>
      </c>
      <c r="C64">
        <f t="shared" si="19"/>
        <v>0.83542382366108436</v>
      </c>
      <c r="D64">
        <f t="shared" si="19"/>
        <v>0.63275932634514043</v>
      </c>
      <c r="E64">
        <f t="shared" si="19"/>
        <v>0.50700582618885326</v>
      </c>
      <c r="F64">
        <f t="shared" si="11"/>
        <v>0.43009464064006225</v>
      </c>
      <c r="H64">
        <f t="shared" si="17"/>
        <v>0.84375</v>
      </c>
      <c r="I64">
        <f t="shared" si="12"/>
        <v>1.1728389355540738</v>
      </c>
      <c r="J64">
        <f t="shared" si="1"/>
        <v>1.3567225243448902</v>
      </c>
      <c r="K64">
        <f t="shared" si="2"/>
        <v>1.5640753193286276</v>
      </c>
      <c r="L64">
        <f t="shared" si="3"/>
        <v>1.7706521811719667</v>
      </c>
      <c r="M64">
        <f t="shared" si="13"/>
        <v>1.8562979903656263</v>
      </c>
      <c r="N64">
        <f t="shared" si="14"/>
        <v>1.8568696530768418</v>
      </c>
      <c r="O64">
        <f t="shared" si="4"/>
        <v>1.8857958398704753</v>
      </c>
      <c r="P64">
        <f t="shared" si="5"/>
        <v>2.0619662687359277</v>
      </c>
      <c r="Q64">
        <f t="shared" si="6"/>
        <v>2.9711273303537702</v>
      </c>
      <c r="R64" t="e">
        <v>#N/A</v>
      </c>
      <c r="S64" cm="1">
        <f t="array" ref="S64">GompMean(N64,0)/B$5</f>
        <v>5.5464890604991483E-2</v>
      </c>
      <c r="T64" cm="1">
        <f t="array" ref="T64">GompMean(O64,0)/C$5</f>
        <v>0.12332109984215278</v>
      </c>
      <c r="U64" cm="1">
        <f t="array" ref="U64">GompMean(P64,0)/D$5</f>
        <v>0.23947721602387378</v>
      </c>
      <c r="V64" cm="1">
        <f t="array" ref="V64">GompMean(Q64,0)/E$5</f>
        <v>0.47715996032842967</v>
      </c>
      <c r="W64">
        <v>1</v>
      </c>
      <c r="X64">
        <f t="shared" si="15"/>
        <v>0.80807752716264603</v>
      </c>
      <c r="Y64">
        <f t="shared" si="7"/>
        <v>0.76874318372077455</v>
      </c>
      <c r="Z64">
        <f t="shared" si="8"/>
        <v>0.71819491635117161</v>
      </c>
      <c r="AA64">
        <f t="shared" si="9"/>
        <v>0.64877935289056299</v>
      </c>
      <c r="AB64">
        <f t="shared" si="10"/>
        <v>0.55370343900537089</v>
      </c>
    </row>
    <row r="65" spans="1:28" x14ac:dyDescent="0.3">
      <c r="A65">
        <f t="shared" si="16"/>
        <v>0.859375</v>
      </c>
      <c r="B65">
        <f t="shared" si="19"/>
        <v>1.1914170964436783</v>
      </c>
      <c r="C65">
        <f t="shared" si="19"/>
        <v>0.85973066075019722</v>
      </c>
      <c r="D65">
        <f t="shared" si="19"/>
        <v>0.63683053386112343</v>
      </c>
      <c r="E65">
        <f t="shared" si="19"/>
        <v>0.50356921020718981</v>
      </c>
      <c r="F65">
        <f t="shared" si="11"/>
        <v>0.42342664128526281</v>
      </c>
      <c r="H65">
        <f t="shared" si="17"/>
        <v>0.859375</v>
      </c>
      <c r="I65">
        <f t="shared" si="12"/>
        <v>1.1808440877830895</v>
      </c>
      <c r="J65">
        <f t="shared" si="1"/>
        <v>1.3744625031341333</v>
      </c>
      <c r="K65">
        <f t="shared" si="2"/>
        <v>1.5978886775050474</v>
      </c>
      <c r="L65">
        <f t="shared" si="3"/>
        <v>1.8335982287292867</v>
      </c>
      <c r="M65">
        <f t="shared" si="13"/>
        <v>1.9616585060234524</v>
      </c>
      <c r="N65">
        <f t="shared" si="14"/>
        <v>1.9622301687346684</v>
      </c>
      <c r="O65">
        <f t="shared" si="4"/>
        <v>1.9911563555283009</v>
      </c>
      <c r="P65">
        <f t="shared" si="5"/>
        <v>2.1673267843937531</v>
      </c>
      <c r="Q65">
        <f t="shared" si="6"/>
        <v>3.076487846011597</v>
      </c>
      <c r="R65" t="e">
        <v>#N/A</v>
      </c>
      <c r="S65" cm="1">
        <f t="array" ref="S65">GompMean(N65,0)/B$5</f>
        <v>5.3181490805494412E-2</v>
      </c>
      <c r="T65" cm="1">
        <f t="array" ref="T65">GompMean(O65,0)/C$5</f>
        <v>0.11830628466139335</v>
      </c>
      <c r="U65" cm="1">
        <f t="array" ref="U65">GompMean(P65,0)/D$5</f>
        <v>0.23041129666605054</v>
      </c>
      <c r="V65" cm="1">
        <f t="array" ref="V65">GompMean(Q65,0)/E$5</f>
        <v>0.46377577137478532</v>
      </c>
      <c r="W65">
        <v>1</v>
      </c>
      <c r="X65">
        <f t="shared" si="15"/>
        <v>0.82646515301098034</v>
      </c>
      <c r="Y65">
        <f t="shared" si="7"/>
        <v>0.79007938921625409</v>
      </c>
      <c r="Z65">
        <f t="shared" si="8"/>
        <v>0.7428953161321894</v>
      </c>
      <c r="AA65">
        <f t="shared" si="9"/>
        <v>0.6769317812353649</v>
      </c>
      <c r="AB65">
        <f t="shared" si="10"/>
        <v>0.58351677259045198</v>
      </c>
    </row>
    <row r="66" spans="1:28" x14ac:dyDescent="0.3">
      <c r="A66">
        <f t="shared" si="16"/>
        <v>0.875</v>
      </c>
      <c r="B66">
        <f t="shared" si="19"/>
        <v>1.2950334574262603</v>
      </c>
      <c r="C66">
        <f t="shared" si="19"/>
        <v>0.88391172317844935</v>
      </c>
      <c r="D66">
        <f t="shared" si="19"/>
        <v>0.6406799119724047</v>
      </c>
      <c r="E66">
        <f t="shared" si="19"/>
        <v>0.50008875443409562</v>
      </c>
      <c r="F66">
        <f t="shared" si="11"/>
        <v>0.41686201967850839</v>
      </c>
      <c r="H66">
        <f t="shared" si="17"/>
        <v>0.875</v>
      </c>
      <c r="I66">
        <f t="shared" si="12"/>
        <v>1.1892993239473679</v>
      </c>
      <c r="J66">
        <f t="shared" si="1"/>
        <v>1.3932153392419615</v>
      </c>
      <c r="K66">
        <f t="shared" si="2"/>
        <v>1.6337953089897759</v>
      </c>
      <c r="L66">
        <f t="shared" si="3"/>
        <v>1.901463019414984</v>
      </c>
      <c r="M66">
        <f t="shared" si="13"/>
        <v>2.0794415416798357</v>
      </c>
      <c r="N66">
        <f t="shared" si="14"/>
        <v>2.0800132043910544</v>
      </c>
      <c r="O66">
        <f t="shared" si="4"/>
        <v>2.1089393911846854</v>
      </c>
      <c r="P66">
        <f t="shared" si="5"/>
        <v>2.285109820050137</v>
      </c>
      <c r="Q66">
        <f t="shared" si="6"/>
        <v>3.1942708816679799</v>
      </c>
      <c r="R66" t="e">
        <v>#N/A</v>
      </c>
      <c r="S66" cm="1">
        <f t="array" ref="S66">GompMean(N66,0)/B$5</f>
        <v>5.0850726281363008E-2</v>
      </c>
      <c r="T66" cm="1">
        <f t="array" ref="T66">GompMean(O66,0)/C$5</f>
        <v>0.11318145898965896</v>
      </c>
      <c r="U66" cm="1">
        <f t="array" ref="U66">GompMean(P66,0)/D$5</f>
        <v>0.22108616471464251</v>
      </c>
      <c r="V66" cm="1">
        <f t="array" ref="V66">GompMean(Q66,0)/E$5</f>
        <v>0.44969809073222239</v>
      </c>
      <c r="W66">
        <v>1</v>
      </c>
      <c r="X66">
        <f t="shared" si="15"/>
        <v>0.84498124372140859</v>
      </c>
      <c r="Y66">
        <f t="shared" si="7"/>
        <v>0.8117004002210475</v>
      </c>
      <c r="Z66">
        <f t="shared" si="8"/>
        <v>0.76813981578694768</v>
      </c>
      <c r="AA66">
        <f t="shared" si="9"/>
        <v>0.70610486123159921</v>
      </c>
      <c r="AB66">
        <f t="shared" si="10"/>
        <v>0.61506980729002048</v>
      </c>
    </row>
    <row r="67" spans="1:28" x14ac:dyDescent="0.3">
      <c r="A67">
        <f t="shared" si="16"/>
        <v>0.890625</v>
      </c>
      <c r="B67">
        <f t="shared" si="19"/>
        <v>1.4037712902016353</v>
      </c>
      <c r="C67">
        <f t="shared" si="19"/>
        <v>0.90787535394583818</v>
      </c>
      <c r="D67">
        <f t="shared" si="19"/>
        <v>0.64429732221359726</v>
      </c>
      <c r="E67">
        <f t="shared" si="19"/>
        <v>0.49656511389518759</v>
      </c>
      <c r="F67">
        <f t="shared" si="11"/>
        <v>0.41039917309636997</v>
      </c>
      <c r="H67">
        <f t="shared" si="17"/>
        <v>0.890625</v>
      </c>
      <c r="I67">
        <f t="shared" si="12"/>
        <v>1.1983243538067472</v>
      </c>
      <c r="J67">
        <f t="shared" si="1"/>
        <v>1.4132484522064888</v>
      </c>
      <c r="K67">
        <f t="shared" si="2"/>
        <v>1.672329308457924</v>
      </c>
      <c r="L67">
        <f t="shared" si="3"/>
        <v>1.9754387370288395</v>
      </c>
      <c r="M67">
        <f t="shared" si="13"/>
        <v>2.2129729343043585</v>
      </c>
      <c r="N67">
        <f t="shared" si="14"/>
        <v>2.213544597015578</v>
      </c>
      <c r="O67">
        <f t="shared" si="4"/>
        <v>2.2424707838092077</v>
      </c>
      <c r="P67">
        <f t="shared" si="5"/>
        <v>2.4186412126746597</v>
      </c>
      <c r="Q67">
        <f t="shared" si="6"/>
        <v>3.3278022742925026</v>
      </c>
      <c r="R67" t="e">
        <v>#N/A</v>
      </c>
      <c r="S67" cm="1">
        <f t="array" ref="S67">GompMean(N67,0)/B$5</f>
        <v>4.8453098866281297E-2</v>
      </c>
      <c r="T67" cm="1">
        <f t="array" ref="T67">GompMean(O67,0)/C$5</f>
        <v>0.10790338526526369</v>
      </c>
      <c r="U67" cm="1">
        <f t="array" ref="U67">GompMean(P67,0)/D$5</f>
        <v>0.21141866225590322</v>
      </c>
      <c r="V67" cm="1">
        <f t="array" ref="V67">GompMean(Q67,0)/E$5</f>
        <v>0.4347624780670919</v>
      </c>
      <c r="W67">
        <v>1</v>
      </c>
      <c r="X67">
        <f t="shared" si="15"/>
        <v>0.86363371611388751</v>
      </c>
      <c r="Y67">
        <f t="shared" si="7"/>
        <v>0.83362401777652706</v>
      </c>
      <c r="Z67">
        <f t="shared" si="8"/>
        <v>0.79396506570317515</v>
      </c>
      <c r="AA67">
        <f t="shared" si="9"/>
        <v>0.73638424209888242</v>
      </c>
      <c r="AB67">
        <f t="shared" si="10"/>
        <v>0.64858108531046077</v>
      </c>
    </row>
    <row r="68" spans="1:28" x14ac:dyDescent="0.3">
      <c r="A68">
        <f t="shared" si="16"/>
        <v>0.90625</v>
      </c>
      <c r="B68">
        <f t="shared" si="19"/>
        <v>1.5169568911996636</v>
      </c>
      <c r="C68">
        <f t="shared" si="19"/>
        <v>0.93152253117946127</v>
      </c>
      <c r="D68">
        <f t="shared" si="19"/>
        <v>0.64767260601416587</v>
      </c>
      <c r="E68">
        <f t="shared" si="19"/>
        <v>0.49299896373709901</v>
      </c>
      <c r="F68">
        <f t="shared" si="11"/>
        <v>0.40403652366334208</v>
      </c>
      <c r="H68">
        <f t="shared" si="17"/>
        <v>0.90625</v>
      </c>
      <c r="I68">
        <f t="shared" si="12"/>
        <v>1.2080892785090565</v>
      </c>
      <c r="J68">
        <f t="shared" si="1"/>
        <v>1.43494202377937</v>
      </c>
      <c r="K68">
        <f t="shared" si="2"/>
        <v>1.7142517576557974</v>
      </c>
      <c r="L68">
        <f t="shared" si="3"/>
        <v>2.0572322612943172</v>
      </c>
      <c r="M68">
        <f t="shared" si="13"/>
        <v>2.367123614131617</v>
      </c>
      <c r="N68">
        <f t="shared" si="14"/>
        <v>2.367695276842833</v>
      </c>
      <c r="O68">
        <f t="shared" si="4"/>
        <v>2.3966214636364667</v>
      </c>
      <c r="P68">
        <f t="shared" si="5"/>
        <v>2.5727918925019178</v>
      </c>
      <c r="Q68">
        <f t="shared" si="6"/>
        <v>3.4819529541197611</v>
      </c>
      <c r="R68" t="e">
        <v>#N/A</v>
      </c>
      <c r="S68" cm="1">
        <f t="array" ref="S68">GompMean(N68,0)/B$5</f>
        <v>4.5961715849706389E-2</v>
      </c>
      <c r="T68" cm="1">
        <f t="array" ref="T68">GompMean(O68,0)/C$5</f>
        <v>0.10241231240400871</v>
      </c>
      <c r="U68" cm="1">
        <f t="array" ref="U68">GompMean(P68,0)/D$5</f>
        <v>0.20129286897677132</v>
      </c>
      <c r="V68" cm="1">
        <f t="array" ref="V68">GompMean(Q68,0)/E$5</f>
        <v>0.41873685864045168</v>
      </c>
      <c r="W68">
        <v>1</v>
      </c>
      <c r="X68">
        <f t="shared" si="15"/>
        <v>0.88243271927886602</v>
      </c>
      <c r="Y68">
        <f t="shared" si="7"/>
        <v>0.8558730309828082</v>
      </c>
      <c r="Z68">
        <f t="shared" si="8"/>
        <v>0.82041769125319663</v>
      </c>
      <c r="AA68">
        <f t="shared" si="9"/>
        <v>0.76787789500611536</v>
      </c>
      <c r="AB68">
        <f t="shared" si="10"/>
        <v>0.68433216117516094</v>
      </c>
    </row>
    <row r="69" spans="1:28" x14ac:dyDescent="0.3">
      <c r="A69">
        <f t="shared" si="16"/>
        <v>0.921875</v>
      </c>
      <c r="B69">
        <f t="shared" si="19"/>
        <v>1.6336514419313428</v>
      </c>
      <c r="C69">
        <f t="shared" si="19"/>
        <v>0.9547468283942232</v>
      </c>
      <c r="D69">
        <f t="shared" si="19"/>
        <v>0.65079560783806301</v>
      </c>
      <c r="E69">
        <f t="shared" si="19"/>
        <v>0.4893909991202432</v>
      </c>
      <c r="F69">
        <f t="shared" si="11"/>
        <v>0.39777251796661167</v>
      </c>
      <c r="H69">
        <f t="shared" si="17"/>
        <v>0.921875</v>
      </c>
      <c r="I69">
        <f t="shared" si="12"/>
        <v>1.2188493838324941</v>
      </c>
      <c r="J69">
        <f t="shared" si="1"/>
        <v>1.4588668538318932</v>
      </c>
      <c r="K69">
        <f t="shared" si="2"/>
        <v>1.7607075057112938</v>
      </c>
      <c r="L69">
        <f t="shared" si="3"/>
        <v>2.1494227722487476</v>
      </c>
      <c r="M69">
        <f t="shared" si="13"/>
        <v>2.5494451709255714</v>
      </c>
      <c r="N69">
        <f t="shared" si="14"/>
        <v>2.5500168336367897</v>
      </c>
      <c r="O69">
        <f t="shared" si="4"/>
        <v>2.5789430204304225</v>
      </c>
      <c r="P69">
        <f t="shared" si="5"/>
        <v>2.7551134492958718</v>
      </c>
      <c r="Q69">
        <f t="shared" si="6"/>
        <v>3.6642745109137147</v>
      </c>
      <c r="R69" t="e">
        <v>#N/A</v>
      </c>
      <c r="S69" cm="1">
        <f t="array" ref="S69">GompMean(N69,0)/B$5</f>
        <v>4.3337320703229973E-2</v>
      </c>
      <c r="T69" cm="1">
        <f t="array" ref="T69">GompMean(O69,0)/C$5</f>
        <v>9.6620891582663668E-2</v>
      </c>
      <c r="U69" cm="1">
        <f t="array" ref="U69">GompMean(P69,0)/D$5</f>
        <v>0.19053820653866599</v>
      </c>
      <c r="V69" cm="1">
        <f t="array" ref="V69">GompMean(Q69,0)/E$5</f>
        <v>0.40127625553174678</v>
      </c>
      <c r="W69">
        <v>1</v>
      </c>
      <c r="X69">
        <f t="shared" si="15"/>
        <v>0.90139166370814661</v>
      </c>
      <c r="Y69">
        <f t="shared" si="7"/>
        <v>0.87847751988948775</v>
      </c>
      <c r="Z69">
        <f t="shared" si="8"/>
        <v>0.84755892873047189</v>
      </c>
      <c r="AA69">
        <f t="shared" si="9"/>
        <v>0.80072663845464886</v>
      </c>
      <c r="AB69">
        <f t="shared" si="10"/>
        <v>0.72269959602143974</v>
      </c>
    </row>
    <row r="70" spans="1:28" x14ac:dyDescent="0.3">
      <c r="A70">
        <f t="shared" si="16"/>
        <v>0.9375</v>
      </c>
      <c r="B70">
        <f t="shared" ref="B70:E89" si="20">B$5*B$4*EXP(B$5*$A70-B$4*(EXP(B$5*$A70)-1))</f>
        <v>1.7526100047958704</v>
      </c>
      <c r="C70">
        <f t="shared" si="20"/>
        <v>0.9774344532472915</v>
      </c>
      <c r="D70">
        <f t="shared" si="20"/>
        <v>0.65365619975445899</v>
      </c>
      <c r="E70">
        <f t="shared" si="20"/>
        <v>0.48574193509616631</v>
      </c>
      <c r="F70">
        <f t="shared" si="11"/>
        <v>0.39160562667679899</v>
      </c>
      <c r="H70">
        <f t="shared" si="17"/>
        <v>0.9375</v>
      </c>
      <c r="I70">
        <f t="shared" si="12"/>
        <v>1.2310171399452523</v>
      </c>
      <c r="J70">
        <f t="shared" si="1"/>
        <v>1.4859454905046401</v>
      </c>
      <c r="K70">
        <f t="shared" si="2"/>
        <v>1.8135498524873328</v>
      </c>
      <c r="L70">
        <f t="shared" si="3"/>
        <v>2.256204579536178</v>
      </c>
      <c r="M70">
        <f t="shared" si="13"/>
        <v>2.7725887222397811</v>
      </c>
      <c r="N70">
        <f t="shared" si="14"/>
        <v>2.7731603849510007</v>
      </c>
      <c r="O70">
        <f t="shared" si="4"/>
        <v>2.8020865717446313</v>
      </c>
      <c r="P70">
        <f t="shared" si="5"/>
        <v>2.9782570006100815</v>
      </c>
      <c r="Q70">
        <f t="shared" si="6"/>
        <v>3.8874180622279257</v>
      </c>
      <c r="R70" t="e">
        <v>#N/A</v>
      </c>
      <c r="S70" cm="1">
        <f t="array" ref="S70">GompMean(N70,0)/B$5</f>
        <v>4.0518185893385954E-2</v>
      </c>
      <c r="T70" cm="1">
        <f t="array" ref="T70">GompMean(O70,0)/C$5</f>
        <v>9.0391628147250505E-2</v>
      </c>
      <c r="U70" cm="1">
        <f t="array" ref="U70">GompMean(P70,0)/D$5</f>
        <v>0.17888486302983622</v>
      </c>
      <c r="V70" cm="1">
        <f t="array" ref="V70">GompMean(Q70,0)/E$5</f>
        <v>0.38183033536066618</v>
      </c>
      <c r="W70">
        <v>1</v>
      </c>
      <c r="X70">
        <f t="shared" si="15"/>
        <v>0.92052904213508513</v>
      </c>
      <c r="Y70">
        <f t="shared" si="7"/>
        <v>0.90147893008425684</v>
      </c>
      <c r="Z70">
        <f t="shared" si="8"/>
        <v>0.87547283028017697</v>
      </c>
      <c r="AA70">
        <f t="shared" si="9"/>
        <v>0.83512281781894726</v>
      </c>
      <c r="AB70">
        <f t="shared" si="10"/>
        <v>0.76421320486001365</v>
      </c>
    </row>
    <row r="71" spans="1:28" x14ac:dyDescent="0.3">
      <c r="A71">
        <f t="shared" si="16"/>
        <v>0.953125</v>
      </c>
      <c r="B71">
        <f t="shared" si="20"/>
        <v>1.8722423279336202</v>
      </c>
      <c r="C71">
        <f t="shared" si="20"/>
        <v>0.99946437712798597</v>
      </c>
      <c r="D71">
        <f t="shared" si="20"/>
        <v>0.65624430744301232</v>
      </c>
      <c r="E71">
        <f t="shared" si="20"/>
        <v>0.48205250646927705</v>
      </c>
      <c r="F71">
        <f t="shared" si="11"/>
        <v>0.38553434417457871</v>
      </c>
      <c r="H71">
        <f t="shared" si="17"/>
        <v>0.953125</v>
      </c>
      <c r="I71">
        <f t="shared" si="12"/>
        <v>1.2453337780397873</v>
      </c>
      <c r="J71">
        <f t="shared" si="1"/>
        <v>1.5178362547325868</v>
      </c>
      <c r="K71">
        <f t="shared" si="2"/>
        <v>1.8761149549600484</v>
      </c>
      <c r="L71">
        <f t="shared" si="3"/>
        <v>2.3851652503014189</v>
      </c>
      <c r="M71">
        <f t="shared" si="13"/>
        <v>3.0602707946915624</v>
      </c>
      <c r="N71">
        <f t="shared" si="14"/>
        <v>3.0608424574027731</v>
      </c>
      <c r="O71">
        <f t="shared" si="4"/>
        <v>3.0897686441964121</v>
      </c>
      <c r="P71">
        <f t="shared" si="5"/>
        <v>3.2659390730618627</v>
      </c>
      <c r="Q71">
        <f t="shared" si="6"/>
        <v>4.1751001346797061</v>
      </c>
      <c r="R71" t="e">
        <v>#N/A</v>
      </c>
      <c r="S71" cm="1">
        <f t="array" ref="S71">GompMean(N71,0)/B$5</f>
        <v>3.7396523419635321E-2</v>
      </c>
      <c r="T71" cm="1">
        <f t="array" ref="T71">GompMean(O71,0)/C$5</f>
        <v>8.3484248631293986E-2</v>
      </c>
      <c r="U71" cm="1">
        <f t="array" ref="U71">GompMean(P71,0)/D$5</f>
        <v>0.16585966098081495</v>
      </c>
      <c r="V71" cm="1">
        <f t="array" ref="V71">GompMean(Q71,0)/E$5</f>
        <v>0.3594265772492452</v>
      </c>
      <c r="W71">
        <v>1</v>
      </c>
      <c r="X71">
        <f t="shared" si="15"/>
        <v>0.93987201711908952</v>
      </c>
      <c r="Y71">
        <f t="shared" si="7"/>
        <v>0.92493810140481814</v>
      </c>
      <c r="Z71">
        <f t="shared" si="8"/>
        <v>0.90428243987777202</v>
      </c>
      <c r="AA71">
        <f t="shared" si="9"/>
        <v>0.87134725808356261</v>
      </c>
      <c r="AB71">
        <f t="shared" si="10"/>
        <v>0.80967480649883306</v>
      </c>
    </row>
    <row r="72" spans="1:28" x14ac:dyDescent="0.3">
      <c r="A72">
        <f t="shared" si="16"/>
        <v>0.96875</v>
      </c>
      <c r="B72">
        <f t="shared" si="20"/>
        <v>1.9905789330690002</v>
      </c>
      <c r="C72">
        <f t="shared" si="20"/>
        <v>1.0207085685497159</v>
      </c>
      <c r="D72">
        <f t="shared" si="20"/>
        <v>0.6585499376299897</v>
      </c>
      <c r="E72">
        <f t="shared" si="20"/>
        <v>0.47832346764274464</v>
      </c>
      <c r="F72">
        <f t="shared" si="11"/>
        <v>0.37955718818308959</v>
      </c>
      <c r="H72">
        <f t="shared" si="17"/>
        <v>0.96875</v>
      </c>
      <c r="I72">
        <f t="shared" si="12"/>
        <v>1.2633777423610175</v>
      </c>
      <c r="J72">
        <f t="shared" si="1"/>
        <v>1.55807144090557</v>
      </c>
      <c r="K72">
        <f t="shared" si="2"/>
        <v>1.9555192302905766</v>
      </c>
      <c r="L72">
        <f t="shared" si="3"/>
        <v>2.5525846777310282</v>
      </c>
      <c r="M72">
        <f t="shared" si="13"/>
        <v>3.4657359027997265</v>
      </c>
      <c r="N72">
        <f t="shared" si="14"/>
        <v>3.4663075655109368</v>
      </c>
      <c r="O72">
        <f t="shared" si="4"/>
        <v>3.4952337523045771</v>
      </c>
      <c r="P72">
        <f t="shared" si="5"/>
        <v>3.6714041811700264</v>
      </c>
      <c r="Q72">
        <f t="shared" si="6"/>
        <v>4.5805652427878698</v>
      </c>
      <c r="R72" t="e">
        <v>#N/A</v>
      </c>
      <c r="S72" cm="1">
        <f t="array" ref="S72">GompMean(N72,0)/B$5</f>
        <v>3.3750434205171653E-2</v>
      </c>
      <c r="T72" cm="1">
        <f t="array" ref="T72">GompMean(O72,0)/C$5</f>
        <v>7.5403841506778826E-2</v>
      </c>
      <c r="U72" cm="1">
        <f t="array" ref="U72">GompMean(P72,0)/D$5</f>
        <v>0.1504853217088413</v>
      </c>
      <c r="V72" cm="1">
        <f t="array" ref="V72">GompMean(Q72,0)/E$5</f>
        <v>0.33204081252833967</v>
      </c>
      <c r="W72">
        <v>1</v>
      </c>
      <c r="X72">
        <f t="shared" si="15"/>
        <v>0.95946474448230656</v>
      </c>
      <c r="Y72">
        <f t="shared" si="7"/>
        <v>0.94895389742461411</v>
      </c>
      <c r="Z72">
        <f t="shared" si="8"/>
        <v>0.93418735775001815</v>
      </c>
      <c r="AA72">
        <f t="shared" si="9"/>
        <v>0.90985545342939478</v>
      </c>
      <c r="AB72">
        <f t="shared" si="10"/>
        <v>0.86044575303750848</v>
      </c>
    </row>
    <row r="73" spans="1:28" x14ac:dyDescent="0.3">
      <c r="A73">
        <f t="shared" si="16"/>
        <v>0.984375</v>
      </c>
      <c r="B73">
        <f t="shared" si="20"/>
        <v>2.1052471148548602</v>
      </c>
      <c r="C73">
        <f t="shared" si="20"/>
        <v>1.0410323437684954</v>
      </c>
      <c r="D73">
        <f t="shared" si="20"/>
        <v>0.66056320694373527</v>
      </c>
      <c r="E73">
        <f t="shared" si="20"/>
        <v>0.47455559244837708</v>
      </c>
      <c r="F73">
        <f t="shared" si="11"/>
        <v>0.37367269940604297</v>
      </c>
      <c r="H73">
        <f t="shared" si="17"/>
        <v>0.984375</v>
      </c>
      <c r="I73">
        <f t="shared" si="12"/>
        <v>1.2898191789916902</v>
      </c>
      <c r="J73">
        <f t="shared" si="1"/>
        <v>1.617105258087179</v>
      </c>
      <c r="K73">
        <f t="shared" si="2"/>
        <v>2.0728621286414115</v>
      </c>
      <c r="L73">
        <f t="shared" si="3"/>
        <v>2.8071206906941093</v>
      </c>
      <c r="M73">
        <f t="shared" si="13"/>
        <v>4.1588830833596715</v>
      </c>
      <c r="N73">
        <f t="shared" si="14"/>
        <v>4.1594547460708924</v>
      </c>
      <c r="O73">
        <f t="shared" si="4"/>
        <v>4.188380932864523</v>
      </c>
      <c r="P73">
        <f t="shared" si="5"/>
        <v>4.36455136172997</v>
      </c>
      <c r="Q73">
        <f t="shared" si="6"/>
        <v>5.2737124233478161</v>
      </c>
      <c r="R73" t="e">
        <v>#N/A</v>
      </c>
      <c r="S73" cm="1">
        <f t="array" ref="S73">GompMean(N73,0)/B$5</f>
        <v>2.8953987874667707E-2</v>
      </c>
      <c r="T73" cm="1">
        <f t="array" ref="T73">GompMean(O73,0)/C$5</f>
        <v>6.4753727826337842E-2</v>
      </c>
      <c r="U73" cm="1">
        <f t="array" ref="U73">GompMean(P73,0)/D$5</f>
        <v>0.12999704076268195</v>
      </c>
      <c r="V73" cm="1">
        <f t="array" ref="V73">GompMean(Q73,0)/E$5</f>
        <v>0.2938898564297806</v>
      </c>
      <c r="W73">
        <v>1</v>
      </c>
      <c r="X73">
        <f t="shared" si="15"/>
        <v>0.97939416926771317</v>
      </c>
      <c r="Y73">
        <f t="shared" si="7"/>
        <v>0.97372095334510134</v>
      </c>
      <c r="Z73">
        <f t="shared" si="8"/>
        <v>0.96558032547806105</v>
      </c>
      <c r="AA73">
        <f t="shared" si="9"/>
        <v>0.95154671020118919</v>
      </c>
      <c r="AB73">
        <f t="shared" si="10"/>
        <v>0.91939245182250517</v>
      </c>
    </row>
    <row r="74" spans="1:28" x14ac:dyDescent="0.3">
      <c r="A74">
        <f t="shared" si="16"/>
        <v>1</v>
      </c>
      <c r="B74">
        <f t="shared" si="20"/>
        <v>2.2134627234875275</v>
      </c>
      <c r="C74">
        <f t="shared" si="20"/>
        <v>1.0602948482907799</v>
      </c>
      <c r="D74">
        <f t="shared" si="20"/>
        <v>0.66227437216950413</v>
      </c>
      <c r="E74">
        <f t="shared" si="20"/>
        <v>0.47074967396029638</v>
      </c>
      <c r="F74">
        <f t="shared" si="11"/>
        <v>0.36787944117144233</v>
      </c>
      <c r="H74">
        <f t="shared" si="17"/>
        <v>1</v>
      </c>
      <c r="X74">
        <v>1</v>
      </c>
      <c r="Y74">
        <v>1</v>
      </c>
      <c r="Z74">
        <v>1</v>
      </c>
      <c r="AA74">
        <v>1</v>
      </c>
      <c r="AB74">
        <v>1</v>
      </c>
    </row>
    <row r="75" spans="1:28" x14ac:dyDescent="0.3">
      <c r="A75">
        <f t="shared" si="16"/>
        <v>1.015625</v>
      </c>
      <c r="B75">
        <f t="shared" si="20"/>
        <v>2.3120448110031799</v>
      </c>
      <c r="C75">
        <f t="shared" si="20"/>
        <v>1.078349682892588</v>
      </c>
      <c r="D75">
        <f t="shared" si="20"/>
        <v>0.66367386187450628</v>
      </c>
      <c r="E75">
        <f t="shared" si="20"/>
        <v>0.46690652429224538</v>
      </c>
      <c r="F75">
        <f t="shared" ref="F75:F138" si="21">EXP(-A75)</f>
        <v>0.36217599908082571</v>
      </c>
    </row>
    <row r="76" spans="1:28" x14ac:dyDescent="0.3">
      <c r="A76">
        <f t="shared" ref="A76:A139" si="22">A75+1/64</f>
        <v>1.03125</v>
      </c>
      <c r="B76">
        <f t="shared" si="20"/>
        <v>2.397461194592597</v>
      </c>
      <c r="C76">
        <f t="shared" si="20"/>
        <v>1.0950456873866674</v>
      </c>
      <c r="D76">
        <f t="shared" si="20"/>
        <v>0.66475230936413821</v>
      </c>
      <c r="E76">
        <f t="shared" si="20"/>
        <v>0.46302697437837353</v>
      </c>
      <c r="F76">
        <f t="shared" si="21"/>
        <v>0.35656098066394698</v>
      </c>
    </row>
    <row r="77" spans="1:28" x14ac:dyDescent="0.3">
      <c r="A77">
        <f t="shared" si="22"/>
        <v>1.046875</v>
      </c>
      <c r="B77">
        <f t="shared" si="20"/>
        <v>2.4659134319040765</v>
      </c>
      <c r="C77">
        <f t="shared" si="20"/>
        <v>1.1102278945740598</v>
      </c>
      <c r="D77">
        <f t="shared" si="20"/>
        <v>0.6655005869198386</v>
      </c>
      <c r="E77">
        <f t="shared" si="20"/>
        <v>0.45911187373736151</v>
      </c>
      <c r="F77">
        <f t="shared" si="21"/>
        <v>0.35103301503881013</v>
      </c>
    </row>
    <row r="78" spans="1:28" x14ac:dyDescent="0.3">
      <c r="A78">
        <f t="shared" si="22"/>
        <v>1.0625</v>
      </c>
      <c r="B78">
        <f t="shared" si="20"/>
        <v>2.5134692165058459</v>
      </c>
      <c r="C78">
        <f t="shared" si="20"/>
        <v>1.1237386655259316</v>
      </c>
      <c r="D78">
        <f t="shared" si="20"/>
        <v>0.66590984125776753</v>
      </c>
      <c r="E78">
        <f t="shared" si="20"/>
        <v>0.45516209021976178</v>
      </c>
      <c r="F78">
        <f t="shared" si="21"/>
        <v>0.34559075257697452</v>
      </c>
    </row>
    <row r="79" spans="1:28" x14ac:dyDescent="0.3">
      <c r="A79">
        <f t="shared" si="22"/>
        <v>1.078125</v>
      </c>
      <c r="B79">
        <f t="shared" si="20"/>
        <v>2.5362483011508972</v>
      </c>
      <c r="C79">
        <f t="shared" si="20"/>
        <v>1.1354190154841284</v>
      </c>
      <c r="D79">
        <f t="shared" si="20"/>
        <v>0.66597153013562449</v>
      </c>
      <c r="E79">
        <f t="shared" si="20"/>
        <v>0.45117850973844748</v>
      </c>
      <c r="F79">
        <f t="shared" si="21"/>
        <v>0.34023286457404905</v>
      </c>
    </row>
    <row r="80" spans="1:28" x14ac:dyDescent="0.3">
      <c r="A80">
        <f t="shared" si="22"/>
        <v>1.09375</v>
      </c>
      <c r="B80">
        <f t="shared" si="20"/>
        <v>2.530664217391041</v>
      </c>
      <c r="C80">
        <f t="shared" si="20"/>
        <v>1.1451101371681756</v>
      </c>
      <c r="D80">
        <f t="shared" si="20"/>
        <v>0.66567746002238815</v>
      </c>
      <c r="E80">
        <f t="shared" si="20"/>
        <v>0.44716203598207449</v>
      </c>
      <c r="F80">
        <f t="shared" si="21"/>
        <v>0.33495804292529496</v>
      </c>
    </row>
    <row r="81" spans="1:6" x14ac:dyDescent="0.3">
      <c r="A81">
        <f t="shared" si="22"/>
        <v>1.109375</v>
      </c>
      <c r="B81">
        <f t="shared" si="20"/>
        <v>2.4937178188717795</v>
      </c>
      <c r="C81">
        <f t="shared" si="20"/>
        <v>1.1526551250601749</v>
      </c>
      <c r="D81">
        <f t="shared" si="20"/>
        <v>0.66501982473263277</v>
      </c>
      <c r="E81">
        <f t="shared" si="20"/>
        <v>0.44311359011148566</v>
      </c>
      <c r="F81">
        <f t="shared" si="21"/>
        <v>0.32976499980625751</v>
      </c>
    </row>
    <row r="82" spans="1:6" x14ac:dyDescent="0.3">
      <c r="A82">
        <f t="shared" si="22"/>
        <v>1.125</v>
      </c>
      <c r="B82">
        <f t="shared" si="20"/>
        <v>2.423329797682225</v>
      </c>
      <c r="C82">
        <f t="shared" si="20"/>
        <v>1.1579009002432141</v>
      </c>
      <c r="D82">
        <f t="shared" si="20"/>
        <v>0.66399124491337902</v>
      </c>
      <c r="E82">
        <f t="shared" si="20"/>
        <v>0.43903411043899548</v>
      </c>
      <c r="F82">
        <f t="shared" si="21"/>
        <v>0.32465246735834974</v>
      </c>
    </row>
    <row r="83" spans="1:6" x14ac:dyDescent="0.3">
      <c r="A83">
        <f t="shared" si="22"/>
        <v>1.140625</v>
      </c>
      <c r="B83">
        <f t="shared" si="20"/>
        <v>2.3186880405086225</v>
      </c>
      <c r="C83">
        <f t="shared" si="20"/>
        <v>1.1607003305435386</v>
      </c>
      <c r="D83">
        <f t="shared" si="20"/>
        <v>0.66258480825723809</v>
      </c>
      <c r="E83">
        <f t="shared" si="20"/>
        <v>0.4349245520905165</v>
      </c>
      <c r="F83">
        <f t="shared" si="21"/>
        <v>0.31961919737930994</v>
      </c>
    </row>
    <row r="84" spans="1:6" x14ac:dyDescent="0.3">
      <c r="A84">
        <f t="shared" si="22"/>
        <v>1.15625</v>
      </c>
      <c r="B84">
        <f t="shared" si="20"/>
        <v>2.1805729888079322</v>
      </c>
      <c r="C84">
        <f t="shared" si="20"/>
        <v>1.1609145350415428</v>
      </c>
      <c r="D84">
        <f t="shared" si="20"/>
        <v>0.6607941103009688</v>
      </c>
      <c r="E84">
        <f t="shared" si="20"/>
        <v>0.43078588665050516</v>
      </c>
      <c r="F84">
        <f t="shared" si="21"/>
        <v>0.314663961018459</v>
      </c>
    </row>
    <row r="85" spans="1:6" x14ac:dyDescent="0.3">
      <c r="A85">
        <f t="shared" si="22"/>
        <v>1.171875</v>
      </c>
      <c r="B85">
        <f t="shared" si="20"/>
        <v>2.0116120518802281</v>
      </c>
      <c r="C85">
        <f t="shared" si="20"/>
        <v>1.1584153554688896</v>
      </c>
      <c r="D85">
        <f t="shared" si="20"/>
        <v>0.65861329565355342</v>
      </c>
      <c r="E85">
        <f t="shared" si="20"/>
        <v>0.42661910178972501</v>
      </c>
      <c r="F85">
        <f t="shared" si="21"/>
        <v>0.30978554847668166</v>
      </c>
    </row>
    <row r="86" spans="1:6" x14ac:dyDescent="0.3">
      <c r="A86">
        <f t="shared" si="22"/>
        <v>1.1875</v>
      </c>
      <c r="B86">
        <f t="shared" si="20"/>
        <v>1.8164057541218868</v>
      </c>
      <c r="C86">
        <f t="shared" si="20"/>
        <v>1.1530879696311513</v>
      </c>
      <c r="D86">
        <f t="shared" si="20"/>
        <v>0.65603709948261724</v>
      </c>
      <c r="E86">
        <f t="shared" si="20"/>
        <v>0.42242520087584268</v>
      </c>
      <c r="F86">
        <f t="shared" si="21"/>
        <v>0.30498276871105928</v>
      </c>
    </row>
    <row r="87" spans="1:6" x14ac:dyDescent="0.3">
      <c r="A87">
        <f t="shared" si="22"/>
        <v>1.203125</v>
      </c>
      <c r="B87">
        <f t="shared" si="20"/>
        <v>1.601467804364328</v>
      </c>
      <c r="C87">
        <f t="shared" si="20"/>
        <v>1.1448336138636748</v>
      </c>
      <c r="D87">
        <f t="shared" si="20"/>
        <v>0.65306088907256377</v>
      </c>
      <c r="E87">
        <f t="shared" si="20"/>
        <v>0.41820520256689553</v>
      </c>
      <c r="F87">
        <f t="shared" si="21"/>
        <v>0.30025444914408245</v>
      </c>
    </row>
    <row r="88" spans="1:6" x14ac:dyDescent="0.3">
      <c r="A88">
        <f t="shared" si="22"/>
        <v>1.21875</v>
      </c>
      <c r="B88">
        <f t="shared" si="20"/>
        <v>1.3749330381125291</v>
      </c>
      <c r="C88">
        <f t="shared" si="20"/>
        <v>1.133572372772057</v>
      </c>
      <c r="D88">
        <f t="shared" si="20"/>
        <v>0.64968070525227462</v>
      </c>
      <c r="E88">
        <f t="shared" si="20"/>
        <v>0.41396014038768553</v>
      </c>
      <c r="F88">
        <f t="shared" si="21"/>
        <v>0.29559943537737077</v>
      </c>
    </row>
    <row r="89" spans="1:6" x14ac:dyDescent="0.3">
      <c r="A89">
        <f t="shared" si="22"/>
        <v>1.234375</v>
      </c>
      <c r="B89">
        <f t="shared" si="20"/>
        <v>1.1460144669786234</v>
      </c>
      <c r="C89">
        <f t="shared" si="20"/>
        <v>1.1192459853182304</v>
      </c>
      <c r="D89">
        <f t="shared" si="20"/>
        <v>0.64589330347479401</v>
      </c>
      <c r="E89">
        <f t="shared" si="20"/>
        <v>0.40969106228918156</v>
      </c>
      <c r="F89">
        <f t="shared" si="21"/>
        <v>0.29101659090983195</v>
      </c>
    </row>
    <row r="90" spans="1:6" x14ac:dyDescent="0.3">
      <c r="A90">
        <f t="shared" si="22"/>
        <v>1.25</v>
      </c>
      <c r="B90">
        <f t="shared" ref="B90:E109" si="23">B$5*B$4*EXP(B$5*$A90-B$4*(EXP(B$5*$A90)-1))</f>
        <v>0.92423365700875193</v>
      </c>
      <c r="C90">
        <f t="shared" si="23"/>
        <v>1.1018206069481775</v>
      </c>
      <c r="D90">
        <f t="shared" si="23"/>
        <v>0.64169619431619596</v>
      </c>
      <c r="E90">
        <f t="shared" si="23"/>
        <v>0.40539903019102624</v>
      </c>
      <c r="F90">
        <f t="shared" si="21"/>
        <v>0.28650479686019009</v>
      </c>
    </row>
    <row r="91" spans="1:6" x14ac:dyDescent="0.3">
      <c r="A91">
        <f t="shared" si="22"/>
        <v>1.265625</v>
      </c>
      <c r="B91">
        <f t="shared" si="23"/>
        <v>0.71850236316821181</v>
      </c>
      <c r="C91">
        <f t="shared" si="23"/>
        <v>1.0812894582523691</v>
      </c>
      <c r="D91">
        <f t="shared" si="23"/>
        <v>0.63708768314598718</v>
      </c>
      <c r="E91">
        <f t="shared" si="23"/>
        <v>0.40108511950727349</v>
      </c>
      <c r="F91">
        <f t="shared" si="21"/>
        <v>0.28206295169381546</v>
      </c>
    </row>
    <row r="92" spans="1:6" x14ac:dyDescent="0.3">
      <c r="A92">
        <f t="shared" si="22"/>
        <v>1.28125</v>
      </c>
      <c r="B92">
        <f t="shared" si="23"/>
        <v>0.5361863657641297</v>
      </c>
      <c r="C92">
        <f t="shared" si="23"/>
        <v>1.0576752820175828</v>
      </c>
      <c r="D92">
        <f t="shared" si="23"/>
        <v>0.63206690870712201</v>
      </c>
      <c r="E92">
        <f t="shared" si="23"/>
        <v>0.39675041865549754</v>
      </c>
      <c r="F92">
        <f t="shared" si="21"/>
        <v>0.27768997095378994</v>
      </c>
    </row>
    <row r="93" spans="1:6" x14ac:dyDescent="0.3">
      <c r="A93">
        <f t="shared" si="22"/>
        <v>1.296875</v>
      </c>
      <c r="B93">
        <f t="shared" si="23"/>
        <v>0.38231787458149313</v>
      </c>
      <c r="C93">
        <f t="shared" si="23"/>
        <v>1.0310325229587189</v>
      </c>
      <c r="D93">
        <f t="shared" si="23"/>
        <v>0.62663388033015521</v>
      </c>
      <c r="E93">
        <f t="shared" si="23"/>
        <v>0.39239602854944466</v>
      </c>
      <c r="F93">
        <f t="shared" si="21"/>
        <v>0.27338478699614155</v>
      </c>
    </row>
    <row r="94" spans="1:6" x14ac:dyDescent="0.3">
      <c r="A94">
        <f t="shared" si="22"/>
        <v>1.3125</v>
      </c>
      <c r="B94">
        <f t="shared" si="23"/>
        <v>0.2591224845508458</v>
      </c>
      <c r="C94">
        <f t="shared" si="23"/>
        <v>1.0014491384725661</v>
      </c>
      <c r="D94">
        <f t="shared" si="23"/>
        <v>0.62078951349346467</v>
      </c>
      <c r="E94">
        <f t="shared" si="23"/>
        <v>0.38802306207541454</v>
      </c>
      <c r="F94">
        <f t="shared" si="21"/>
        <v>0.26914634872918386</v>
      </c>
    </row>
    <row r="95" spans="1:6" x14ac:dyDescent="0.3">
      <c r="A95">
        <f t="shared" si="22"/>
        <v>1.328125</v>
      </c>
      <c r="B95">
        <f t="shared" si="23"/>
        <v>0.16597847668153121</v>
      </c>
      <c r="C95">
        <f t="shared" si="23"/>
        <v>0.9690479450517826</v>
      </c>
      <c r="D95">
        <f t="shared" si="23"/>
        <v>0.61453566343003307</v>
      </c>
      <c r="E95">
        <f t="shared" si="23"/>
        <v>0.38363264355259064</v>
      </c>
      <c r="F95">
        <f t="shared" si="21"/>
        <v>0.26497362135689667</v>
      </c>
    </row>
    <row r="96" spans="1:6" x14ac:dyDescent="0.3">
      <c r="A96">
        <f t="shared" si="22"/>
        <v>1.34375</v>
      </c>
      <c r="B96">
        <f t="shared" si="23"/>
        <v>9.9833012880087862E-2</v>
      </c>
      <c r="C96">
        <f t="shared" si="23"/>
        <v>0.93398740419442283</v>
      </c>
      <c r="D96">
        <f t="shared" si="23"/>
        <v>0.6078751564712298</v>
      </c>
      <c r="E96">
        <f t="shared" si="23"/>
        <v>0.37922590817755258</v>
      </c>
      <c r="F96">
        <f t="shared" si="21"/>
        <v>0.26086558612628497</v>
      </c>
    </row>
    <row r="97" spans="1:6" x14ac:dyDescent="0.3">
      <c r="A97">
        <f t="shared" si="22"/>
        <v>1.359375</v>
      </c>
      <c r="B97">
        <f t="shared" si="23"/>
        <v>5.5984071026803098E-2</v>
      </c>
      <c r="C97">
        <f t="shared" si="23"/>
        <v>0.8964617544087351</v>
      </c>
      <c r="D97">
        <f t="shared" si="23"/>
        <v>0.60081181880960588</v>
      </c>
      <c r="E97">
        <f t="shared" si="23"/>
        <v>0.37480400145323817</v>
      </c>
      <c r="F97">
        <f t="shared" si="21"/>
        <v>0.25682124007865503</v>
      </c>
    </row>
    <row r="98" spans="1:6" x14ac:dyDescent="0.3">
      <c r="A98">
        <f t="shared" si="22"/>
        <v>1.375</v>
      </c>
      <c r="B98">
        <f t="shared" si="23"/>
        <v>2.9037642453309448E-2</v>
      </c>
      <c r="C98">
        <f t="shared" si="23"/>
        <v>0.85670040288153293</v>
      </c>
      <c r="D98">
        <f t="shared" si="23"/>
        <v>0.59335050235615272</v>
      </c>
      <c r="E98">
        <f t="shared" si="23"/>
        <v>0.37036807860263804</v>
      </c>
      <c r="F98">
        <f t="shared" si="21"/>
        <v>0.25283959580474646</v>
      </c>
    </row>
    <row r="99" spans="1:6" x14ac:dyDescent="0.3">
      <c r="A99">
        <f t="shared" si="22"/>
        <v>1.390625</v>
      </c>
      <c r="B99">
        <f t="shared" si="23"/>
        <v>1.3807333278310503E-2</v>
      </c>
      <c r="C99">
        <f t="shared" si="23"/>
        <v>0.81496650210938915</v>
      </c>
      <c r="D99">
        <f t="shared" si="23"/>
        <v>0.5854971073630505</v>
      </c>
      <c r="E99">
        <f t="shared" si="23"/>
        <v>0.36591930396754097</v>
      </c>
      <c r="F99">
        <f t="shared" si="21"/>
        <v>0.24891968120366051</v>
      </c>
    </row>
    <row r="100" spans="1:6" x14ac:dyDescent="0.3">
      <c r="A100">
        <f t="shared" si="22"/>
        <v>1.40625</v>
      </c>
      <c r="B100">
        <f t="shared" si="23"/>
        <v>5.9595898790061339E-3</v>
      </c>
      <c r="C100">
        <f t="shared" si="23"/>
        <v>0.77155465370850873</v>
      </c>
      <c r="D100">
        <f t="shared" si="23"/>
        <v>0.57725860148086938</v>
      </c>
      <c r="E100">
        <f t="shared" si="23"/>
        <v>0.36145885039265857</v>
      </c>
      <c r="F100">
        <f t="shared" si="21"/>
        <v>0.2450605392455259</v>
      </c>
    </row>
    <row r="101" spans="1:6" x14ac:dyDescent="0.3">
      <c r="A101">
        <f t="shared" si="22"/>
        <v>1.421875</v>
      </c>
      <c r="B101">
        <f t="shared" si="23"/>
        <v>2.3094004792530896E-3</v>
      </c>
      <c r="C101">
        <f t="shared" si="23"/>
        <v>0.72678770394484449</v>
      </c>
      <c r="D101">
        <f t="shared" si="23"/>
        <v>0.5686430349197753</v>
      </c>
      <c r="E101">
        <f t="shared" si="23"/>
        <v>0.35698789859550123</v>
      </c>
      <c r="F101">
        <f t="shared" si="21"/>
        <v>0.24126122773784431</v>
      </c>
    </row>
    <row r="102" spans="1:6" x14ac:dyDescent="0.3">
      <c r="A102">
        <f t="shared" si="22"/>
        <v>1.4375</v>
      </c>
      <c r="B102">
        <f t="shared" si="23"/>
        <v>7.9365684108101181E-4</v>
      </c>
      <c r="C102">
        <f t="shared" si="23"/>
        <v>0.68101262321804568</v>
      </c>
      <c r="D102">
        <f t="shared" si="23"/>
        <v>0.5596595513877648</v>
      </c>
      <c r="E102">
        <f t="shared" si="23"/>
        <v>0.35250763652238559</v>
      </c>
      <c r="F102">
        <f t="shared" si="21"/>
        <v>0.23752081909545814</v>
      </c>
    </row>
    <row r="103" spans="1:6" x14ac:dyDescent="0.3">
      <c r="A103">
        <f t="shared" si="22"/>
        <v>1.453125</v>
      </c>
      <c r="B103">
        <f t="shared" si="23"/>
        <v>2.3860827318282547E-4</v>
      </c>
      <c r="C103">
        <f t="shared" si="23"/>
        <v>0.63459549441495466</v>
      </c>
      <c r="D103">
        <f t="shared" si="23"/>
        <v>0.5503183944855794</v>
      </c>
      <c r="E103">
        <f t="shared" si="23"/>
        <v>0.34801925869099076</v>
      </c>
      <c r="F103">
        <f t="shared" si="21"/>
        <v>0.23383840011408472</v>
      </c>
    </row>
    <row r="104" spans="1:6" x14ac:dyDescent="0.3">
      <c r="A104">
        <f t="shared" si="22"/>
        <v>1.46875</v>
      </c>
      <c r="B104">
        <f t="shared" si="23"/>
        <v>6.1808955728035925E-5</v>
      </c>
      <c r="C104">
        <f t="shared" si="23"/>
        <v>0.58791567195306238</v>
      </c>
      <c r="D104">
        <f t="shared" si="23"/>
        <v>0.54063090924794766</v>
      </c>
      <c r="E104">
        <f t="shared" si="23"/>
        <v>0.34352396551990133</v>
      </c>
      <c r="F104">
        <f t="shared" si="21"/>
        <v>0.23021307174736147</v>
      </c>
    </row>
    <row r="105" spans="1:6" x14ac:dyDescent="0.3">
      <c r="A105">
        <f t="shared" si="22"/>
        <v>1.484375</v>
      </c>
      <c r="B105">
        <f t="shared" si="23"/>
        <v>1.3563540806399307E-5</v>
      </c>
      <c r="C105">
        <f t="shared" si="23"/>
        <v>0.54135921325887282</v>
      </c>
      <c r="D105">
        <f t="shared" si="23"/>
        <v>0.53060953853441228</v>
      </c>
      <c r="E105">
        <f t="shared" si="23"/>
        <v>0.33902296264559822</v>
      </c>
      <c r="F105">
        <f t="shared" si="21"/>
        <v>0.22664394888734782</v>
      </c>
    </row>
    <row r="106" spans="1:6" x14ac:dyDescent="0.3">
      <c r="A106">
        <f t="shared" si="22"/>
        <v>1.5</v>
      </c>
      <c r="B106">
        <f t="shared" si="23"/>
        <v>2.4743223548834572E-6</v>
      </c>
      <c r="C106">
        <f t="shared" si="23"/>
        <v>0.49531172571319898</v>
      </c>
      <c r="D106">
        <f t="shared" si="23"/>
        <v>0.52026781399043376</v>
      </c>
      <c r="E106">
        <f t="shared" si="23"/>
        <v>0.33451746022739293</v>
      </c>
      <c r="F106">
        <f t="shared" si="21"/>
        <v>0.22313016014842982</v>
      </c>
    </row>
    <row r="107" spans="1:6" x14ac:dyDescent="0.3">
      <c r="A107">
        <f t="shared" si="22"/>
        <v>1.515625</v>
      </c>
      <c r="B107">
        <f t="shared" si="23"/>
        <v>3.6743013216510949E-7</v>
      </c>
      <c r="C107">
        <f t="shared" si="23"/>
        <v>0.45015081264762569</v>
      </c>
      <c r="D107">
        <f t="shared" si="23"/>
        <v>0.50962034132086498</v>
      </c>
      <c r="E107">
        <f t="shared" si="23"/>
        <v>0.33000867224081454</v>
      </c>
      <c r="F107">
        <f t="shared" si="21"/>
        <v>0.21967084765457534</v>
      </c>
    </row>
    <row r="108" spans="1:6" x14ac:dyDescent="0.3">
      <c r="A108">
        <f t="shared" si="22"/>
        <v>1.53125</v>
      </c>
      <c r="B108">
        <f t="shared" si="23"/>
        <v>4.3387467459578005E-8</v>
      </c>
      <c r="C108">
        <f t="shared" si="23"/>
        <v>0.40623833931130748</v>
      </c>
      <c r="D108">
        <f t="shared" si="23"/>
        <v>0.49868277964346475</v>
      </c>
      <c r="E108">
        <f t="shared" si="23"/>
        <v>0.32549781575999154</v>
      </c>
      <c r="F108">
        <f t="shared" si="21"/>
        <v>0.21626516682988731</v>
      </c>
    </row>
    <row r="109" spans="1:6" x14ac:dyDescent="0.3">
      <c r="A109">
        <f t="shared" si="22"/>
        <v>1.546875</v>
      </c>
      <c r="B109">
        <f t="shared" si="23"/>
        <v>3.9692143821848576E-9</v>
      </c>
      <c r="C109">
        <f t="shared" si="23"/>
        <v>0.36391277108325842</v>
      </c>
      <c r="D109">
        <f t="shared" si="23"/>
        <v>0.48747181471993173</v>
      </c>
      <c r="E109">
        <f t="shared" si="23"/>
        <v>0.3209861102295965</v>
      </c>
      <c r="F109">
        <f t="shared" si="21"/>
        <v>0.21291228619240427</v>
      </c>
    </row>
    <row r="110" spans="1:6" x14ac:dyDescent="0.3">
      <c r="A110">
        <f t="shared" si="22"/>
        <v>1.5625</v>
      </c>
      <c r="B110">
        <f t="shared" ref="B110:E129" si="24">B$5*B$4*EXP(B$5*$A110-B$4*(EXP(B$5*$A110)-1))</f>
        <v>2.7326729357212809E-10</v>
      </c>
      <c r="C110">
        <f t="shared" si="24"/>
        <v>0.32348185869845913</v>
      </c>
      <c r="D110">
        <f t="shared" si="24"/>
        <v>0.47600512589608285</v>
      </c>
      <c r="E110">
        <f t="shared" si="24"/>
        <v>0.31647477672693813</v>
      </c>
      <c r="F110">
        <f t="shared" si="21"/>
        <v>0.20961138715109781</v>
      </c>
    </row>
    <row r="111" spans="1:6" x14ac:dyDescent="0.3">
      <c r="A111">
        <f t="shared" si="22"/>
        <v>1.578125</v>
      </c>
      <c r="B111">
        <f t="shared" si="24"/>
        <v>1.3707924770572771E-11</v>
      </c>
      <c r="C111">
        <f t="shared" si="24"/>
        <v>0.28521595608939287</v>
      </c>
      <c r="D111">
        <f t="shared" si="24"/>
        <v>0.46430134662130906</v>
      </c>
      <c r="E111">
        <f t="shared" si="24"/>
        <v>0.31196503721482038</v>
      </c>
      <c r="F111">
        <f t="shared" si="21"/>
        <v>0.20636166380601706</v>
      </c>
    </row>
    <row r="112" spans="1:6" x14ac:dyDescent="0.3">
      <c r="A112">
        <f t="shared" si="22"/>
        <v>1.59375</v>
      </c>
      <c r="B112">
        <f t="shared" si="24"/>
        <v>4.8330104137121886E-13</v>
      </c>
      <c r="C112">
        <f t="shared" si="24"/>
        <v>0.24934225316102576</v>
      </c>
      <c r="D112">
        <f t="shared" si="24"/>
        <v>0.45238001846024145</v>
      </c>
      <c r="E112">
        <f t="shared" si="24"/>
        <v>0.30745811378580651</v>
      </c>
      <c r="F112">
        <f t="shared" si="21"/>
        <v>0.20316232275153173</v>
      </c>
    </row>
    <row r="113" spans="1:6" x14ac:dyDescent="0.3">
      <c r="A113">
        <f t="shared" si="22"/>
        <v>1.609375</v>
      </c>
      <c r="B113">
        <f t="shared" si="24"/>
        <v>1.1505565065608787E-14</v>
      </c>
      <c r="C113">
        <f t="shared" si="24"/>
        <v>0.21604018658046245</v>
      </c>
      <c r="D113">
        <f t="shared" si="24"/>
        <v>0.44026153855662081</v>
      </c>
      <c r="E113">
        <f t="shared" si="24"/>
        <v>0.30295522789854717</v>
      </c>
      <c r="F113">
        <f t="shared" si="21"/>
        <v>0.2000125828826258</v>
      </c>
    </row>
    <row r="114" spans="1:6" x14ac:dyDescent="0.3">
      <c r="A114">
        <f t="shared" si="22"/>
        <v>1.625</v>
      </c>
      <c r="B114">
        <f t="shared" si="24"/>
        <v>1.768656693059417E-16</v>
      </c>
      <c r="C114">
        <f t="shared" si="24"/>
        <v>0.18543825554423488</v>
      </c>
      <c r="D114">
        <f t="shared" si="24"/>
        <v>0.42796710056046261</v>
      </c>
      <c r="E114">
        <f t="shared" si="24"/>
        <v>0.29845759960686435</v>
      </c>
      <c r="F114">
        <f t="shared" si="21"/>
        <v>0.19691167520419406</v>
      </c>
    </row>
    <row r="115" spans="1:6" x14ac:dyDescent="0.3">
      <c r="A115">
        <f t="shared" si="22"/>
        <v>1.640625</v>
      </c>
      <c r="B115">
        <f t="shared" si="24"/>
        <v>1.6703952998201908E-18</v>
      </c>
      <c r="C115">
        <f t="shared" si="24"/>
        <v>0.15761241672598084</v>
      </c>
      <c r="D115">
        <f t="shared" si="24"/>
        <v>0.41551862908455595</v>
      </c>
      <c r="E115">
        <f t="shared" si="24"/>
        <v>0.29396644678229655</v>
      </c>
      <c r="F115">
        <f t="shared" si="21"/>
        <v>0.19385884264329528</v>
      </c>
    </row>
    <row r="116" spans="1:6" x14ac:dyDescent="0.3">
      <c r="A116">
        <f t="shared" si="22"/>
        <v>1.65625</v>
      </c>
      <c r="B116">
        <f t="shared" si="24"/>
        <v>9.1700670005372365E-21</v>
      </c>
      <c r="C116">
        <f t="shared" si="24"/>
        <v>0.13258616481141244</v>
      </c>
      <c r="D116">
        <f t="shared" si="24"/>
        <v>0.40293870781482322</v>
      </c>
      <c r="E116">
        <f t="shared" si="24"/>
        <v>0.28948298433083586</v>
      </c>
      <c r="F116">
        <f t="shared" si="21"/>
        <v>0.19085333986431632</v>
      </c>
    </row>
    <row r="117" spans="1:6" x14ac:dyDescent="0.3">
      <c r="A117">
        <f t="shared" si="22"/>
        <v>1.671875</v>
      </c>
      <c r="B117">
        <f t="shared" si="24"/>
        <v>2.751083930708524E-23</v>
      </c>
      <c r="C117">
        <f t="shared" si="24"/>
        <v>0.11033232526547035</v>
      </c>
      <c r="D117">
        <f t="shared" si="24"/>
        <v>0.39025050146068035</v>
      </c>
      <c r="E117">
        <f t="shared" si="24"/>
        <v>0.28500842340461607</v>
      </c>
      <c r="F117">
        <f t="shared" si="21"/>
        <v>0.18789443308700168</v>
      </c>
    </row>
    <row r="118" spans="1:6" x14ac:dyDescent="0.3">
      <c r="A118">
        <f t="shared" si="22"/>
        <v>1.6875</v>
      </c>
      <c r="B118">
        <f t="shared" si="24"/>
        <v>4.2108101564196731E-26</v>
      </c>
      <c r="C118">
        <f t="shared" si="24"/>
        <v>9.0776498741062708E-2</v>
      </c>
      <c r="D118">
        <f t="shared" si="24"/>
        <v>0.37747767179583325</v>
      </c>
      <c r="E118">
        <f t="shared" si="24"/>
        <v>0.28054397060931613</v>
      </c>
      <c r="F118">
        <f t="shared" si="21"/>
        <v>0.18498139990730428</v>
      </c>
    </row>
    <row r="119" spans="1:6" x14ac:dyDescent="0.3">
      <c r="A119">
        <f t="shared" si="22"/>
        <v>1.703125</v>
      </c>
      <c r="B119">
        <f t="shared" si="24"/>
        <v>3.0458993535544369E-29</v>
      </c>
      <c r="C119">
        <f t="shared" si="24"/>
        <v>7.3802007541728304E-2</v>
      </c>
      <c r="D119">
        <f t="shared" si="24"/>
        <v>0.36464428810637317</v>
      </c>
      <c r="E119">
        <f t="shared" si="24"/>
        <v>0.27609082720808481</v>
      </c>
      <c r="F119">
        <f t="shared" si="21"/>
        <v>0.18211352912101367</v>
      </c>
    </row>
    <row r="120" spans="1:6" x14ac:dyDescent="0.3">
      <c r="A120">
        <f t="shared" si="22"/>
        <v>1.71875</v>
      </c>
      <c r="B120">
        <f t="shared" si="24"/>
        <v>9.5615900112117616E-33</v>
      </c>
      <c r="C120">
        <f t="shared" si="24"/>
        <v>5.925611034396959E-2</v>
      </c>
      <c r="D120">
        <f t="shared" si="24"/>
        <v>0.35177473243092294</v>
      </c>
      <c r="E120">
        <f t="shared" si="24"/>
        <v>0.27165018832279214</v>
      </c>
      <c r="F120">
        <f t="shared" si="21"/>
        <v>0.17929012055011864</v>
      </c>
    </row>
    <row r="121" spans="1:6" x14ac:dyDescent="0.3">
      <c r="A121">
        <f t="shared" si="22"/>
        <v>1.734375</v>
      </c>
      <c r="B121">
        <f t="shared" si="24"/>
        <v>1.184608883597934E-36</v>
      </c>
      <c r="C121">
        <f t="shared" si="24"/>
        <v>4.6957178819297132E-2</v>
      </c>
      <c r="D121">
        <f t="shared" si="24"/>
        <v>0.33889360004624092</v>
      </c>
      <c r="E121">
        <f t="shared" si="24"/>
        <v>0.26722324213344451</v>
      </c>
      <c r="F121">
        <f t="shared" si="21"/>
        <v>0.17651048487186194</v>
      </c>
    </row>
    <row r="122" spans="1:6" x14ac:dyDescent="0.3">
      <c r="A122">
        <f t="shared" si="22"/>
        <v>1.75</v>
      </c>
      <c r="B122">
        <f t="shared" si="24"/>
        <v>5.2110568609431906E-41</v>
      </c>
      <c r="C122">
        <f t="shared" si="24"/>
        <v>3.6702475351513865E-2</v>
      </c>
      <c r="D122">
        <f t="shared" si="24"/>
        <v>0.32602559572030665</v>
      </c>
      <c r="E122">
        <f t="shared" si="24"/>
        <v>0.26281116907661423</v>
      </c>
      <c r="F122">
        <f t="shared" si="21"/>
        <v>0.17377394345044514</v>
      </c>
    </row>
    <row r="123" spans="1:6" x14ac:dyDescent="0.3">
      <c r="A123">
        <f t="shared" si="22"/>
        <v>1.765625</v>
      </c>
      <c r="B123">
        <f t="shared" si="24"/>
        <v>7.2349389985517069E-46</v>
      </c>
      <c r="C123">
        <f t="shared" si="24"/>
        <v>2.827614010291719E-2</v>
      </c>
      <c r="D123">
        <f t="shared" si="24"/>
        <v>0.31319542632257569</v>
      </c>
      <c r="E123">
        <f t="shared" si="24"/>
        <v>0.25841514104375085</v>
      </c>
      <c r="F123">
        <f t="shared" si="21"/>
        <v>0.17107982817134254</v>
      </c>
    </row>
    <row r="124" spans="1:6" x14ac:dyDescent="0.3">
      <c r="A124">
        <f t="shared" si="22"/>
        <v>1.78125</v>
      </c>
      <c r="B124">
        <f t="shared" si="24"/>
        <v>2.7805900055806165E-51</v>
      </c>
      <c r="C124">
        <f t="shared" si="24"/>
        <v>2.1456991823928576E-2</v>
      </c>
      <c r="D124">
        <f t="shared" si="24"/>
        <v>0.30042769044690465</v>
      </c>
      <c r="E124">
        <f t="shared" si="24"/>
        <v>0.25403632058025621</v>
      </c>
      <c r="F124">
        <f t="shared" si="21"/>
        <v>0.16842748127818424</v>
      </c>
    </row>
    <row r="125" spans="1:6" x14ac:dyDescent="0.3">
      <c r="A125">
        <f t="shared" si="22"/>
        <v>1.796875</v>
      </c>
      <c r="B125">
        <f t="shared" si="24"/>
        <v>2.5561579565148309E-57</v>
      </c>
      <c r="C125">
        <f t="shared" si="24"/>
        <v>1.6025771229072071E-2</v>
      </c>
      <c r="D125">
        <f t="shared" si="24"/>
        <v>0.28774676576553976</v>
      </c>
      <c r="E125">
        <f t="shared" si="24"/>
        <v>0.249675860086225</v>
      </c>
      <c r="F125">
        <f t="shared" si="21"/>
        <v>0.1658162552121675</v>
      </c>
    </row>
    <row r="126" spans="1:6" x14ac:dyDescent="0.3">
      <c r="A126">
        <f t="shared" si="22"/>
        <v>1.8125</v>
      </c>
      <c r="B126">
        <f t="shared" si="24"/>
        <v>4.7766848771666855E-64</v>
      </c>
      <c r="C126">
        <f t="shared" si="24"/>
        <v>1.1771506964082367E-2</v>
      </c>
      <c r="D126">
        <f t="shared" si="24"/>
        <v>0.27517669489151553</v>
      </c>
      <c r="E126">
        <f t="shared" si="24"/>
        <v>0.24533490101975911</v>
      </c>
      <c r="F126">
        <f t="shared" si="21"/>
        <v>0.16324551245395841</v>
      </c>
    </row>
    <row r="127" spans="1:6" x14ac:dyDescent="0.3">
      <c r="A127">
        <f t="shared" si="22"/>
        <v>1.828125</v>
      </c>
      <c r="B127">
        <f t="shared" si="24"/>
        <v>1.5137576471992842E-71</v>
      </c>
      <c r="C127">
        <f t="shared" si="24"/>
        <v>8.4967578995573875E-3</v>
      </c>
      <c r="D127">
        <f t="shared" si="24"/>
        <v>0.26274107058071139</v>
      </c>
      <c r="E127">
        <f t="shared" si="24"/>
        <v>0.24101457310378388</v>
      </c>
      <c r="F127">
        <f t="shared" si="21"/>
        <v>0.16071462536804407</v>
      </c>
    </row>
    <row r="128" spans="1:6" x14ac:dyDescent="0.3">
      <c r="A128">
        <f t="shared" si="22"/>
        <v>1.84375</v>
      </c>
      <c r="B128">
        <f t="shared" si="24"/>
        <v>6.648576868132896E-80</v>
      </c>
      <c r="C128">
        <f t="shared" si="24"/>
        <v>6.0215750178837192E-3</v>
      </c>
      <c r="D128">
        <f t="shared" si="24"/>
        <v>0.25046292115253382</v>
      </c>
      <c r="E128">
        <f t="shared" si="24"/>
        <v>0.23671599353729939</v>
      </c>
      <c r="F128">
        <f t="shared" si="21"/>
        <v>0.15822297604949842</v>
      </c>
    </row>
    <row r="129" spans="1:6" x14ac:dyDescent="0.3">
      <c r="A129">
        <f t="shared" si="22"/>
        <v>1.859375</v>
      </c>
      <c r="B129">
        <f t="shared" si="24"/>
        <v>3.232409191020584E-89</v>
      </c>
      <c r="C129">
        <f t="shared" si="24"/>
        <v>4.1861230790781389E-3</v>
      </c>
      <c r="D129">
        <f t="shared" si="24"/>
        <v>0.23836459704862875</v>
      </c>
      <c r="E129">
        <f t="shared" si="24"/>
        <v>0.2324402662120123</v>
      </c>
      <c r="F129">
        <f t="shared" si="21"/>
        <v>0.15576995617312325</v>
      </c>
    </row>
    <row r="130" spans="1:6" x14ac:dyDescent="0.3">
      <c r="A130">
        <f t="shared" si="22"/>
        <v>1.875</v>
      </c>
      <c r="B130">
        <f t="shared" ref="B130:E149" si="25">B$5*B$4*EXP(B$5*$A130-B$4*(EXP(B$5*$A130)-1))</f>
        <v>1.3543443116826153E-99</v>
      </c>
      <c r="C130">
        <f t="shared" si="25"/>
        <v>2.8519973428582516E-3</v>
      </c>
      <c r="D130">
        <f t="shared" si="25"/>
        <v>0.22646765948107159</v>
      </c>
      <c r="E130">
        <f t="shared" si="25"/>
        <v>0.22818848093530605</v>
      </c>
      <c r="F130">
        <f t="shared" si="21"/>
        <v>0.15335496684492847</v>
      </c>
    </row>
    <row r="131" spans="1:6" x14ac:dyDescent="0.3">
      <c r="A131">
        <f t="shared" si="22"/>
        <v>1.890625</v>
      </c>
      <c r="B131">
        <f t="shared" si="25"/>
        <v>3.7004203708178688E-111</v>
      </c>
      <c r="C131">
        <f t="shared" si="25"/>
        <v>1.9023550152887721E-3</v>
      </c>
      <c r="D131">
        <f t="shared" si="25"/>
        <v>0.21479277214406126</v>
      </c>
      <c r="E131">
        <f t="shared" si="25"/>
        <v>0.22396171266050524</v>
      </c>
      <c r="F131">
        <f t="shared" si="21"/>
        <v>0.15097741845591461</v>
      </c>
    </row>
    <row r="132" spans="1:6" x14ac:dyDescent="0.3">
      <c r="A132">
        <f t="shared" si="22"/>
        <v>1.90625</v>
      </c>
      <c r="B132">
        <f t="shared" si="25"/>
        <v>4.8331934693447245E-124</v>
      </c>
      <c r="C132">
        <f t="shared" si="25"/>
        <v>1.2410473642551973E-3</v>
      </c>
      <c r="D132">
        <f t="shared" si="25"/>
        <v>0.20335959697528602</v>
      </c>
      <c r="E132">
        <f t="shared" si="25"/>
        <v>0.21976102072540732</v>
      </c>
      <c r="F132">
        <f t="shared" si="21"/>
        <v>0.14863673053812251</v>
      </c>
    </row>
    <row r="133" spans="1:6" x14ac:dyDescent="0.3">
      <c r="A133">
        <f t="shared" si="22"/>
        <v>1.921875</v>
      </c>
      <c r="B133">
        <f t="shared" si="25"/>
        <v>2.1354123267964901E-138</v>
      </c>
      <c r="C133">
        <f t="shared" si="25"/>
        <v>7.9098158448345389E-4</v>
      </c>
      <c r="D133">
        <f t="shared" si="25"/>
        <v>0.19218669495389365</v>
      </c>
      <c r="E133">
        <f t="shared" si="25"/>
        <v>0.21558744810004721</v>
      </c>
      <c r="F133">
        <f t="shared" si="21"/>
        <v>0.14633233162291459</v>
      </c>
    </row>
    <row r="134" spans="1:6" x14ac:dyDescent="0.3">
      <c r="A134">
        <f t="shared" si="22"/>
        <v>1.9375</v>
      </c>
      <c r="B134">
        <f t="shared" si="25"/>
        <v>2.1712701048817449E-154</v>
      </c>
      <c r="C134">
        <f t="shared" si="25"/>
        <v>4.9195944061686139E-4</v>
      </c>
      <c r="D134">
        <f t="shared" si="25"/>
        <v>0.18129143291061647</v>
      </c>
      <c r="E134">
        <f t="shared" si="25"/>
        <v>0.21144202064467235</v>
      </c>
      <c r="F134">
        <f t="shared" si="21"/>
        <v>0.14406365910145327</v>
      </c>
    </row>
    <row r="135" spans="1:6" x14ac:dyDescent="0.3">
      <c r="A135">
        <f t="shared" si="22"/>
        <v>1.953125</v>
      </c>
      <c r="B135">
        <f t="shared" si="25"/>
        <v>3.3084483284187746E-172</v>
      </c>
      <c r="C135">
        <f t="shared" si="25"/>
        <v>2.982335348947895E-4</v>
      </c>
      <c r="D135">
        <f t="shared" si="25"/>
        <v>0.17068989730141723</v>
      </c>
      <c r="E135">
        <f t="shared" si="25"/>
        <v>0.20732574637890358</v>
      </c>
      <c r="F135">
        <f t="shared" si="21"/>
        <v>0.14183015908734253</v>
      </c>
    </row>
    <row r="136" spans="1:6" x14ac:dyDescent="0.3">
      <c r="A136">
        <f t="shared" si="22"/>
        <v>1.96875</v>
      </c>
      <c r="B136">
        <f t="shared" si="25"/>
        <v>4.6850782117626564E-192</v>
      </c>
      <c r="C136">
        <f t="shared" si="25"/>
        <v>1.7599555761605663E-4</v>
      </c>
      <c r="D136">
        <f t="shared" si="25"/>
        <v>0.16039681585853996</v>
      </c>
      <c r="E136">
        <f t="shared" si="25"/>
        <v>0.20323961476305225</v>
      </c>
      <c r="F136">
        <f t="shared" si="21"/>
        <v>0.13963128628139898</v>
      </c>
    </row>
    <row r="137" spans="1:6" x14ac:dyDescent="0.3">
      <c r="A137">
        <f t="shared" si="22"/>
        <v>1.984375</v>
      </c>
      <c r="B137">
        <f t="shared" si="25"/>
        <v>3.6215500181354191E-214</v>
      </c>
      <c r="C137">
        <f t="shared" si="25"/>
        <v>1.0096991698913652E-4</v>
      </c>
      <c r="D137">
        <f t="shared" si="25"/>
        <v>0.15042548798179228</v>
      </c>
      <c r="E137">
        <f t="shared" si="25"/>
        <v>0.19918459599256966</v>
      </c>
      <c r="F137">
        <f t="shared" si="21"/>
        <v>0.13746650383851944</v>
      </c>
    </row>
    <row r="138" spans="1:6" x14ac:dyDescent="0.3">
      <c r="A138">
        <f t="shared" si="22"/>
        <v>2</v>
      </c>
      <c r="B138">
        <f t="shared" si="25"/>
        <v>8.4484247783939688E-239</v>
      </c>
      <c r="C138">
        <f t="shared" si="25"/>
        <v>5.623753331800499E-5</v>
      </c>
      <c r="D138">
        <f t="shared" si="25"/>
        <v>0.14078772466817441</v>
      </c>
      <c r="E138">
        <f t="shared" si="25"/>
        <v>0.19516164030659533</v>
      </c>
      <c r="F138">
        <f t="shared" si="21"/>
        <v>0.1353352832366127</v>
      </c>
    </row>
    <row r="139" spans="1:6" x14ac:dyDescent="0.3">
      <c r="A139">
        <f t="shared" si="22"/>
        <v>2.015625</v>
      </c>
      <c r="B139">
        <f t="shared" si="25"/>
        <v>3.0740063536655492E-266</v>
      </c>
      <c r="C139">
        <f t="shared" si="25"/>
        <v>3.0365044529222589E-5</v>
      </c>
      <c r="D139">
        <f t="shared" si="25"/>
        <v>0.13149379869975183</v>
      </c>
      <c r="E139">
        <f t="shared" si="25"/>
        <v>0.19117167731156606</v>
      </c>
      <c r="F139">
        <f t="shared" ref="F139:F202" si="26">EXP(-A139)</f>
        <v>0.13323710414756298</v>
      </c>
    </row>
    <row r="140" spans="1:6" x14ac:dyDescent="0.3">
      <c r="A140">
        <f t="shared" ref="A140:A202" si="27">A139+1/64</f>
        <v>2.03125</v>
      </c>
      <c r="B140">
        <f t="shared" si="25"/>
        <v>8.3641491042241602E-297</v>
      </c>
      <c r="C140">
        <f t="shared" si="25"/>
        <v>1.5869873700452213E-5</v>
      </c>
      <c r="D140">
        <f t="shared" si="25"/>
        <v>0.12255240571838788</v>
      </c>
      <c r="E140">
        <f t="shared" si="25"/>
        <v>0.18721561532084025</v>
      </c>
      <c r="F140">
        <f t="shared" si="26"/>
        <v>0.13117145431019428</v>
      </c>
    </row>
    <row r="141" spans="1:6" x14ac:dyDescent="0.3">
      <c r="A141">
        <f t="shared" si="27"/>
        <v>2.046875</v>
      </c>
      <c r="B141">
        <f t="shared" si="25"/>
        <v>0</v>
      </c>
      <c r="C141">
        <f t="shared" si="25"/>
        <v>8.0155062351002993E-6</v>
      </c>
      <c r="D141">
        <f t="shared" si="25"/>
        <v>0.11397063671225111</v>
      </c>
      <c r="E141">
        <f t="shared" si="25"/>
        <v>0.18329434071128384</v>
      </c>
      <c r="F141">
        <f t="shared" si="26"/>
        <v>0.12913782940520399</v>
      </c>
    </row>
    <row r="142" spans="1:6" x14ac:dyDescent="0.3">
      <c r="A142">
        <f t="shared" si="27"/>
        <v>2.0625</v>
      </c>
      <c r="B142">
        <f t="shared" si="25"/>
        <v>0</v>
      </c>
      <c r="C142">
        <f t="shared" si="25"/>
        <v>3.905875451035296E-6</v>
      </c>
      <c r="D142">
        <f t="shared" si="25"/>
        <v>0.10575396232388382</v>
      </c>
      <c r="E142">
        <f t="shared" si="25"/>
        <v>0.17940871729775157</v>
      </c>
      <c r="F142">
        <f t="shared" si="26"/>
        <v>0.12713573293203559</v>
      </c>
    </row>
    <row r="143" spans="1:6" x14ac:dyDescent="0.3">
      <c r="A143">
        <f t="shared" si="27"/>
        <v>2.078125</v>
      </c>
      <c r="B143">
        <f t="shared" si="25"/>
        <v>0</v>
      </c>
      <c r="C143">
        <f t="shared" si="25"/>
        <v>1.8330405689457983E-6</v>
      </c>
      <c r="D143">
        <f t="shared" si="25"/>
        <v>9.7906229264276737E-2</v>
      </c>
      <c r="E143">
        <f t="shared" si="25"/>
        <v>0.17555958572638378</v>
      </c>
      <c r="F143">
        <f t="shared" si="26"/>
        <v>0.12516467608766019</v>
      </c>
    </row>
    <row r="144" spans="1:6" x14ac:dyDescent="0.3">
      <c r="A144">
        <f t="shared" si="27"/>
        <v>2.09375</v>
      </c>
      <c r="B144">
        <f t="shared" si="25"/>
        <v>0</v>
      </c>
      <c r="C144">
        <f t="shared" si="25"/>
        <v>8.269721047151549E-7</v>
      </c>
      <c r="D144">
        <f t="shared" si="25"/>
        <v>9.0429668983343231E-2</v>
      </c>
      <c r="E144">
        <f t="shared" si="25"/>
        <v>0.171747762887626</v>
      </c>
      <c r="F144">
        <f t="shared" si="26"/>
        <v>0.12322417764723749</v>
      </c>
    </row>
    <row r="145" spans="1:6" x14ac:dyDescent="0.3">
      <c r="A145">
        <f t="shared" si="27"/>
        <v>2.109375</v>
      </c>
      <c r="B145">
        <f t="shared" si="25"/>
        <v>0</v>
      </c>
      <c r="C145">
        <f t="shared" si="25"/>
        <v>3.579598271617922E-7</v>
      </c>
      <c r="D145">
        <f t="shared" si="25"/>
        <v>8.3324918606215589E-2</v>
      </c>
      <c r="E145">
        <f t="shared" si="25"/>
        <v>0.16797404134985935</v>
      </c>
      <c r="F145">
        <f t="shared" si="26"/>
        <v>0.1213137638466268</v>
      </c>
    </row>
    <row r="146" spans="1:6" x14ac:dyDescent="0.3">
      <c r="A146">
        <f t="shared" si="27"/>
        <v>2.125</v>
      </c>
      <c r="B146">
        <f t="shared" si="25"/>
        <v>0</v>
      </c>
      <c r="C146">
        <f t="shared" si="25"/>
        <v>1.4836132080643176E-7</v>
      </c>
      <c r="D146">
        <f t="shared" si="25"/>
        <v>7.6591053998884731E-2</v>
      </c>
      <c r="E146">
        <f t="shared" si="25"/>
        <v>0.16423918881451355</v>
      </c>
      <c r="F146">
        <f t="shared" si="26"/>
        <v>0.11943296826671962</v>
      </c>
    </row>
    <row r="147" spans="1:6" x14ac:dyDescent="0.3">
      <c r="A147">
        <f t="shared" si="27"/>
        <v>2.140625</v>
      </c>
      <c r="B147">
        <f t="shared" si="25"/>
        <v>0</v>
      </c>
      <c r="C147">
        <f t="shared" si="25"/>
        <v>5.8752336783778112E-8</v>
      </c>
      <c r="D147">
        <f t="shared" si="25"/>
        <v>7.0225634678114379E-2</v>
      </c>
      <c r="E147">
        <f t="shared" si="25"/>
        <v>0.16054394759351065</v>
      </c>
      <c r="F147">
        <f t="shared" si="26"/>
        <v>0.11758133171956547</v>
      </c>
    </row>
    <row r="148" spans="1:6" x14ac:dyDescent="0.3">
      <c r="A148">
        <f t="shared" si="27"/>
        <v>2.15625</v>
      </c>
      <c r="B148">
        <f t="shared" si="25"/>
        <v>0</v>
      </c>
      <c r="C148">
        <f t="shared" si="25"/>
        <v>2.2180808109032559E-8</v>
      </c>
      <c r="D148">
        <f t="shared" si="25"/>
        <v>6.4224760131699782E-2</v>
      </c>
      <c r="E148">
        <f t="shared" si="25"/>
        <v>0.15688903410986837</v>
      </c>
      <c r="F148">
        <f t="shared" si="26"/>
        <v>0.11575840213626322</v>
      </c>
    </row>
    <row r="149" spans="1:6" x14ac:dyDescent="0.3">
      <c r="A149">
        <f t="shared" si="27"/>
        <v>2.171875</v>
      </c>
      <c r="B149">
        <f t="shared" si="25"/>
        <v>0</v>
      </c>
      <c r="C149">
        <f t="shared" si="25"/>
        <v>7.9645175466556622E-9</v>
      </c>
      <c r="D149">
        <f t="shared" si="25"/>
        <v>5.8583136968544551E-2</v>
      </c>
      <c r="E149">
        <f t="shared" si="25"/>
        <v>0.15327513842226465</v>
      </c>
      <c r="F149">
        <f t="shared" si="26"/>
        <v>0.1139637344565904</v>
      </c>
    </row>
    <row r="150" spans="1:6" x14ac:dyDescent="0.3">
      <c r="A150">
        <f t="shared" si="27"/>
        <v>2.1875</v>
      </c>
      <c r="B150">
        <f t="shared" ref="B150:E169" si="28">B$5*B$4*EXP(B$5*$A150-B$4*(EXP(B$5*$A150)-1))</f>
        <v>0</v>
      </c>
      <c r="C150">
        <f t="shared" si="28"/>
        <v>2.7133365644570088E-9</v>
      </c>
      <c r="D150">
        <f t="shared" si="28"/>
        <v>5.3294156176362288E-2</v>
      </c>
      <c r="E150">
        <f t="shared" si="28"/>
        <v>0.14970292377434002</v>
      </c>
      <c r="F150">
        <f t="shared" si="26"/>
        <v>0.11219689052034373</v>
      </c>
    </row>
    <row r="151" spans="1:6" x14ac:dyDescent="0.3">
      <c r="A151">
        <f t="shared" si="27"/>
        <v>2.203125</v>
      </c>
      <c r="B151">
        <f t="shared" si="28"/>
        <v>0</v>
      </c>
      <c r="C151">
        <f t="shared" si="28"/>
        <v>8.7476171668203504E-10</v>
      </c>
      <c r="D151">
        <f t="shared" si="28"/>
        <v>4.8349979630744819E-2</v>
      </c>
      <c r="E151">
        <f t="shared" si="28"/>
        <v>0.14617302616948691</v>
      </c>
      <c r="F151">
        <f t="shared" si="26"/>
        <v>0.11045743896036429</v>
      </c>
    </row>
    <row r="152" spans="1:6" x14ac:dyDescent="0.3">
      <c r="A152">
        <f t="shared" si="27"/>
        <v>2.21875</v>
      </c>
      <c r="B152">
        <f t="shared" si="28"/>
        <v>0</v>
      </c>
      <c r="C152">
        <f t="shared" si="28"/>
        <v>2.6615991794422141E-10</v>
      </c>
      <c r="D152">
        <f t="shared" si="28"/>
        <v>4.3741634875535312E-2</v>
      </c>
      <c r="E152">
        <f t="shared" si="28"/>
        <v>0.14268605397184198</v>
      </c>
      <c r="F152">
        <f t="shared" si="26"/>
        <v>0.10874495509722103</v>
      </c>
    </row>
    <row r="153" spans="1:6" x14ac:dyDescent="0.3">
      <c r="A153">
        <f t="shared" si="27"/>
        <v>2.234375</v>
      </c>
      <c r="B153">
        <f t="shared" si="28"/>
        <v>0</v>
      </c>
      <c r="C153">
        <f t="shared" si="28"/>
        <v>7.6213088934263343E-11</v>
      </c>
      <c r="D153">
        <f t="shared" si="28"/>
        <v>3.9459117083479524E-2</v>
      </c>
      <c r="E153">
        <f t="shared" si="28"/>
        <v>0.1392425875341694</v>
      </c>
      <c r="F153">
        <f t="shared" si="26"/>
        <v>0.10705902083552722</v>
      </c>
    </row>
    <row r="154" spans="1:6" x14ac:dyDescent="0.3">
      <c r="A154">
        <f t="shared" si="27"/>
        <v>2.25</v>
      </c>
      <c r="B154">
        <f t="shared" si="28"/>
        <v>0</v>
      </c>
      <c r="C154">
        <f t="shared" si="28"/>
        <v>2.0476572907228569E-11</v>
      </c>
      <c r="D154">
        <f t="shared" si="28"/>
        <v>3.5491497010416068E-2</v>
      </c>
      <c r="E154">
        <f t="shared" si="28"/>
        <v>0.13584317885328734</v>
      </c>
      <c r="F154">
        <f t="shared" si="26"/>
        <v>0.10539922456186433</v>
      </c>
    </row>
    <row r="155" spans="1:6" x14ac:dyDescent="0.3">
      <c r="A155">
        <f t="shared" si="27"/>
        <v>2.265625</v>
      </c>
      <c r="B155">
        <f t="shared" si="28"/>
        <v>0</v>
      </c>
      <c r="C155">
        <f t="shared" si="28"/>
        <v>5.1459921576313902E-12</v>
      </c>
      <c r="D155">
        <f t="shared" si="28"/>
        <v>3.18270336779981E-2</v>
      </c>
      <c r="E155">
        <f t="shared" si="28"/>
        <v>0.1324883512536528</v>
      </c>
      <c r="F155">
        <f t="shared" si="26"/>
        <v>0.10376516104428837</v>
      </c>
    </row>
    <row r="156" spans="1:6" x14ac:dyDescent="0.3">
      <c r="A156">
        <f t="shared" si="27"/>
        <v>2.28125</v>
      </c>
      <c r="B156">
        <f t="shared" si="28"/>
        <v>0</v>
      </c>
      <c r="C156">
        <f t="shared" si="28"/>
        <v>1.2057073469922693E-12</v>
      </c>
      <c r="D156">
        <f t="shared" si="28"/>
        <v>2.8453290461030442E-2</v>
      </c>
      <c r="E156">
        <f t="shared" si="28"/>
        <v>0.12917859909968712</v>
      </c>
      <c r="F156">
        <f t="shared" si="26"/>
        <v>0.1021564313333943</v>
      </c>
    </row>
    <row r="157" spans="1:6" x14ac:dyDescent="0.3">
      <c r="A157">
        <f t="shared" si="27"/>
        <v>2.296875</v>
      </c>
      <c r="B157">
        <f t="shared" si="28"/>
        <v>0</v>
      </c>
      <c r="C157">
        <f t="shared" si="28"/>
        <v>2.6247178603176008E-13</v>
      </c>
      <c r="D157">
        <f t="shared" si="28"/>
        <v>2.5357253217504452E-2</v>
      </c>
      <c r="E157">
        <f t="shared" si="28"/>
        <v>0.12591438753738007</v>
      </c>
      <c r="F157">
        <f t="shared" si="26"/>
        <v>0.10057264266491435</v>
      </c>
    </row>
    <row r="158" spans="1:6" x14ac:dyDescent="0.3">
      <c r="A158">
        <f t="shared" si="27"/>
        <v>2.3125</v>
      </c>
      <c r="B158">
        <f t="shared" si="28"/>
        <v>0</v>
      </c>
      <c r="C158">
        <f t="shared" si="28"/>
        <v>5.2896268894330078E-14</v>
      </c>
      <c r="D158">
        <f t="shared" si="28"/>
        <v>2.252544908347413E-2</v>
      </c>
      <c r="E158">
        <f t="shared" si="28"/>
        <v>0.12269615226567562</v>
      </c>
      <c r="F158">
        <f t="shared" si="26"/>
        <v>9.90134083638263E-2</v>
      </c>
    </row>
    <row r="159" spans="1:6" x14ac:dyDescent="0.3">
      <c r="A159">
        <f t="shared" si="27"/>
        <v>2.328125</v>
      </c>
      <c r="B159">
        <f t="shared" si="28"/>
        <v>0</v>
      </c>
      <c r="C159">
        <f t="shared" si="28"/>
        <v>9.831642678372509E-15</v>
      </c>
      <c r="D159">
        <f t="shared" si="28"/>
        <v>1.9944064561738115E-2</v>
      </c>
      <c r="E159">
        <f t="shared" si="28"/>
        <v>0.119524299338095</v>
      </c>
      <c r="F159">
        <f t="shared" si="26"/>
        <v>9.7478347749948499E-2</v>
      </c>
    </row>
    <row r="160" spans="1:6" x14ac:dyDescent="0.3">
      <c r="A160">
        <f t="shared" si="27"/>
        <v>2.34375</v>
      </c>
      <c r="B160">
        <f t="shared" si="28"/>
        <v>0</v>
      </c>
      <c r="C160">
        <f t="shared" si="28"/>
        <v>1.6786575769097571E-15</v>
      </c>
      <c r="D160">
        <f t="shared" si="28"/>
        <v>1.7599061563066593E-2</v>
      </c>
      <c r="E160">
        <f t="shared" si="28"/>
        <v>0.11639920499501284</v>
      </c>
      <c r="F160">
        <f t="shared" si="26"/>
        <v>9.596708604499847E-2</v>
      </c>
    </row>
    <row r="161" spans="1:6" x14ac:dyDescent="0.3">
      <c r="A161">
        <f t="shared" si="27"/>
        <v>2.359375</v>
      </c>
      <c r="B161">
        <f t="shared" si="28"/>
        <v>0</v>
      </c>
      <c r="C161">
        <f t="shared" si="28"/>
        <v>2.6219531772623639E-16</v>
      </c>
      <c r="D161">
        <f t="shared" si="28"/>
        <v>1.5476290111137991E-2</v>
      </c>
      <c r="E161">
        <f t="shared" si="28"/>
        <v>0.11332121552695586</v>
      </c>
      <c r="F161">
        <f t="shared" si="26"/>
        <v>9.447925428109244E-2</v>
      </c>
    </row>
    <row r="162" spans="1:6" x14ac:dyDescent="0.3">
      <c r="A162">
        <f t="shared" si="27"/>
        <v>2.375</v>
      </c>
      <c r="B162">
        <f t="shared" si="28"/>
        <v>0</v>
      </c>
      <c r="C162">
        <f t="shared" si="28"/>
        <v>3.7300757508685108E-17</v>
      </c>
      <c r="D162">
        <f t="shared" si="28"/>
        <v>1.3561596496570094E-2</v>
      </c>
      <c r="E162">
        <f t="shared" si="28"/>
        <v>0.1102906471692459</v>
      </c>
      <c r="F162">
        <f t="shared" si="26"/>
        <v>9.3014489210663492E-2</v>
      </c>
    </row>
    <row r="163" spans="1:6" x14ac:dyDescent="0.3">
      <c r="A163">
        <f t="shared" si="27"/>
        <v>2.390625</v>
      </c>
      <c r="B163">
        <f t="shared" si="28"/>
        <v>0</v>
      </c>
      <c r="C163">
        <f t="shared" si="28"/>
        <v>4.8111660842355958E-18</v>
      </c>
      <c r="D163">
        <f t="shared" si="28"/>
        <v>1.1840925760077631E-2</v>
      </c>
      <c r="E163">
        <f t="shared" si="28"/>
        <v>0.10730778602826466</v>
      </c>
      <c r="F163">
        <f t="shared" si="26"/>
        <v>9.1572433217776208E-2</v>
      </c>
    </row>
    <row r="164" spans="1:6" x14ac:dyDescent="0.3">
      <c r="A164">
        <f t="shared" si="27"/>
        <v>2.40625</v>
      </c>
      <c r="B164">
        <f t="shared" si="28"/>
        <v>0</v>
      </c>
      <c r="C164">
        <f t="shared" si="28"/>
        <v>5.5993226759343914E-19</v>
      </c>
      <c r="D164">
        <f t="shared" si="28"/>
        <v>1.0300417497988476E-2</v>
      </c>
      <c r="E164">
        <f t="shared" si="28"/>
        <v>0.10437288803956334</v>
      </c>
      <c r="F164">
        <f t="shared" si="26"/>
        <v>9.0152734230816378E-2</v>
      </c>
    </row>
    <row r="165" spans="1:6" x14ac:dyDescent="0.3">
      <c r="A165">
        <f t="shared" si="27"/>
        <v>2.421875</v>
      </c>
      <c r="B165">
        <f t="shared" si="28"/>
        <v>0</v>
      </c>
      <c r="C165">
        <f t="shared" si="28"/>
        <v>5.8503678001871405E-20</v>
      </c>
      <c r="D165">
        <f t="shared" si="28"/>
        <v>8.926494112745308E-3</v>
      </c>
      <c r="E165">
        <f t="shared" si="28"/>
        <v>0.10148617895799669</v>
      </c>
      <c r="F165">
        <f t="shared" si="26"/>
        <v>8.8755045636534247E-2</v>
      </c>
    </row>
    <row r="166" spans="1:6" x14ac:dyDescent="0.3">
      <c r="A166">
        <f t="shared" si="27"/>
        <v>2.4375</v>
      </c>
      <c r="B166">
        <f t="shared" si="28"/>
        <v>0</v>
      </c>
      <c r="C166">
        <f t="shared" si="28"/>
        <v>5.458785619007808E-21</v>
      </c>
      <c r="D166">
        <f t="shared" si="28"/>
        <v>7.7059407738512432E-3</v>
      </c>
      <c r="E166">
        <f t="shared" si="28"/>
        <v>9.8647854380004646E-2</v>
      </c>
      <c r="F166">
        <f t="shared" si="26"/>
        <v>8.7379026195420387E-2</v>
      </c>
    </row>
    <row r="167" spans="1:6" x14ac:dyDescent="0.3">
      <c r="A167">
        <f t="shared" si="27"/>
        <v>2.453125</v>
      </c>
      <c r="B167">
        <f t="shared" si="28"/>
        <v>0</v>
      </c>
      <c r="C167">
        <f t="shared" si="28"/>
        <v>4.5233905391929962E-22</v>
      </c>
      <c r="D167">
        <f t="shared" si="28"/>
        <v>6.6259765078624548E-3</v>
      </c>
      <c r="E167">
        <f t="shared" si="28"/>
        <v>9.5858079798114337E-2</v>
      </c>
      <c r="F167">
        <f t="shared" si="26"/>
        <v>8.602433995839362E-2</v>
      </c>
    </row>
    <row r="168" spans="1:6" x14ac:dyDescent="0.3">
      <c r="A168">
        <f t="shared" si="27"/>
        <v>2.46875</v>
      </c>
      <c r="B168">
        <f t="shared" si="28"/>
        <v>0</v>
      </c>
      <c r="C168">
        <f t="shared" si="28"/>
        <v>3.3094748478382536E-23</v>
      </c>
      <c r="D168">
        <f t="shared" si="28"/>
        <v>5.6743159960998468E-3</v>
      </c>
      <c r="E168">
        <f t="shared" si="28"/>
        <v>9.3116990687684906E-2</v>
      </c>
      <c r="F168">
        <f t="shared" si="26"/>
        <v>8.46906561847805E-2</v>
      </c>
    </row>
    <row r="169" spans="1:6" x14ac:dyDescent="0.3">
      <c r="A169">
        <f t="shared" si="27"/>
        <v>2.484375</v>
      </c>
      <c r="B169">
        <f t="shared" si="28"/>
        <v>0</v>
      </c>
      <c r="C169">
        <f t="shared" si="28"/>
        <v>2.1248525810863978E-24</v>
      </c>
      <c r="D169">
        <f t="shared" si="28"/>
        <v>4.8392218221772823E-3</v>
      </c>
      <c r="E169">
        <f t="shared" si="28"/>
        <v>9.0424692625859227E-2</v>
      </c>
      <c r="F169">
        <f t="shared" si="26"/>
        <v>8.3377649261566447E-2</v>
      </c>
    </row>
    <row r="170" spans="1:6" x14ac:dyDescent="0.3">
      <c r="A170">
        <f t="shared" si="27"/>
        <v>2.5</v>
      </c>
      <c r="B170">
        <f t="shared" ref="B170:E189" si="29">B$5*B$4*EXP(B$5*$A170-B$4*(EXP(B$5*$A170)-1))</f>
        <v>0</v>
      </c>
      <c r="C170">
        <f t="shared" si="29"/>
        <v>1.1895725212784311E-25</v>
      </c>
      <c r="D170">
        <f t="shared" si="29"/>
        <v>4.1095470745805681E-3</v>
      </c>
      <c r="E170">
        <f t="shared" si="29"/>
        <v>8.7781261442637787E-2</v>
      </c>
      <c r="F170">
        <f t="shared" si="26"/>
        <v>8.20849986238988E-2</v>
      </c>
    </row>
    <row r="171" spans="1:6" x14ac:dyDescent="0.3">
      <c r="A171">
        <f t="shared" si="27"/>
        <v>2.515625</v>
      </c>
      <c r="B171">
        <f t="shared" si="29"/>
        <v>0</v>
      </c>
      <c r="C171">
        <f t="shared" si="29"/>
        <v>5.7680185602951737E-27</v>
      </c>
      <c r="D171">
        <f t="shared" si="29"/>
        <v>3.474768368754144E-3</v>
      </c>
      <c r="E171">
        <f t="shared" si="29"/>
        <v>8.5186743403930038E-2</v>
      </c>
      <c r="F171">
        <f t="shared" si="26"/>
        <v>8.0812388676822222E-2</v>
      </c>
    </row>
    <row r="172" spans="1:6" x14ac:dyDescent="0.3">
      <c r="A172">
        <f t="shared" si="27"/>
        <v>2.53125</v>
      </c>
      <c r="B172">
        <f t="shared" si="29"/>
        <v>0</v>
      </c>
      <c r="C172">
        <f t="shared" si="29"/>
        <v>2.4053264420890568E-28</v>
      </c>
      <c r="D172">
        <f t="shared" si="29"/>
        <v>2.9250095049790713E-3</v>
      </c>
      <c r="E172">
        <f t="shared" si="29"/>
        <v>8.2641155426388779E-2</v>
      </c>
      <c r="F172">
        <f t="shared" si="26"/>
        <v>7.9559508718227687E-2</v>
      </c>
    </row>
    <row r="173" spans="1:6" x14ac:dyDescent="0.3">
      <c r="A173">
        <f t="shared" si="27"/>
        <v>2.546875</v>
      </c>
      <c r="B173">
        <f t="shared" si="29"/>
        <v>0</v>
      </c>
      <c r="C173">
        <f t="shared" si="29"/>
        <v>8.5629007567860783E-30</v>
      </c>
      <c r="D173">
        <f t="shared" si="29"/>
        <v>2.4510561195014743E-3</v>
      </c>
      <c r="E173">
        <f t="shared" si="29"/>
        <v>8.0144485323773482E-2</v>
      </c>
      <c r="F173">
        <f t="shared" si="26"/>
        <v>7.8326052862995876E-2</v>
      </c>
    </row>
    <row r="174" spans="1:6" x14ac:dyDescent="0.3">
      <c r="A174">
        <f t="shared" si="27"/>
        <v>2.5625</v>
      </c>
      <c r="B174">
        <f t="shared" si="29"/>
        <v>0</v>
      </c>
      <c r="C174">
        <f t="shared" si="29"/>
        <v>2.582245978177376E-31</v>
      </c>
      <c r="D174">
        <f t="shared" si="29"/>
        <v>2.0443618139810837E-3</v>
      </c>
      <c r="E174">
        <f t="shared" si="29"/>
        <v>7.7696692084535501E-2</v>
      </c>
      <c r="F174">
        <f t="shared" si="26"/>
        <v>7.7111719968316714E-2</v>
      </c>
    </row>
    <row r="175" spans="1:6" x14ac:dyDescent="0.3">
      <c r="A175">
        <f t="shared" si="27"/>
        <v>2.578125</v>
      </c>
      <c r="B175">
        <f t="shared" si="29"/>
        <v>0</v>
      </c>
      <c r="C175">
        <f t="shared" si="29"/>
        <v>6.5428829013124184E-33</v>
      </c>
      <c r="D175">
        <f t="shared" si="29"/>
        <v>1.6970463598802545E-3</v>
      </c>
      <c r="E175">
        <f t="shared" si="29"/>
        <v>7.5297706180263269E-2</v>
      </c>
      <c r="F175">
        <f t="shared" si="26"/>
        <v>7.5916213560166604E-2</v>
      </c>
    </row>
    <row r="176" spans="1:6" x14ac:dyDescent="0.3">
      <c r="A176">
        <f t="shared" si="27"/>
        <v>2.59375</v>
      </c>
      <c r="B176">
        <f t="shared" si="29"/>
        <v>0</v>
      </c>
      <c r="C176">
        <f t="shared" si="29"/>
        <v>1.3811064788931522E-34</v>
      </c>
      <c r="D176">
        <f t="shared" si="29"/>
        <v>1.4018866679026871E-3</v>
      </c>
      <c r="E176">
        <f t="shared" si="29"/>
        <v>7.2947429904567734E-2</v>
      </c>
      <c r="F176">
        <f t="shared" si="26"/>
        <v>7.4739241760925695E-2</v>
      </c>
    </row>
    <row r="177" spans="1:6" x14ac:dyDescent="0.3">
      <c r="A177">
        <f t="shared" si="27"/>
        <v>2.609375</v>
      </c>
      <c r="B177">
        <f t="shared" si="29"/>
        <v>0</v>
      </c>
      <c r="C177">
        <f t="shared" si="29"/>
        <v>2.4070294298813352E-36</v>
      </c>
      <c r="D177">
        <f t="shared" si="29"/>
        <v>1.1523012865702839E-3</v>
      </c>
      <c r="E177">
        <f t="shared" si="29"/>
        <v>7.0645737741936415E-2</v>
      </c>
      <c r="F177">
        <f t="shared" si="26"/>
        <v>7.3580517218117175E-2</v>
      </c>
    </row>
    <row r="178" spans="1:6" x14ac:dyDescent="0.3">
      <c r="A178">
        <f t="shared" si="27"/>
        <v>2.625</v>
      </c>
      <c r="B178">
        <f t="shared" si="29"/>
        <v>0</v>
      </c>
      <c r="C178">
        <f t="shared" si="29"/>
        <v>3.4312376099882079E-38</v>
      </c>
      <c r="D178">
        <f t="shared" si="29"/>
        <v>9.4232924763010869E-4</v>
      </c>
      <c r="E178">
        <f t="shared" si="29"/>
        <v>6.8392476766027874E-2</v>
      </c>
      <c r="F178">
        <f t="shared" si="26"/>
        <v>7.2439757034251456E-2</v>
      </c>
    </row>
    <row r="179" spans="1:6" x14ac:dyDescent="0.3">
      <c r="A179">
        <f t="shared" si="27"/>
        <v>2.640625</v>
      </c>
      <c r="B179">
        <f t="shared" si="29"/>
        <v>0</v>
      </c>
      <c r="C179">
        <f t="shared" si="29"/>
        <v>3.9614493067324075E-40</v>
      </c>
      <c r="D179">
        <f t="shared" si="29"/>
        <v>7.6660410895097806E-4</v>
      </c>
      <c r="E179">
        <f t="shared" si="29"/>
        <v>6.6187467066826211E-2</v>
      </c>
      <c r="F179">
        <f t="shared" si="26"/>
        <v>7.1316682697758038E-2</v>
      </c>
    </row>
    <row r="180" spans="1:6" x14ac:dyDescent="0.3">
      <c r="A180">
        <f t="shared" si="27"/>
        <v>2.65625</v>
      </c>
      <c r="B180">
        <f t="shared" si="29"/>
        <v>0</v>
      </c>
      <c r="C180">
        <f t="shared" si="29"/>
        <v>3.6660644641857861E-42</v>
      </c>
      <c r="D180">
        <f t="shared" si="29"/>
        <v>6.2032405823268073E-4</v>
      </c>
      <c r="E180">
        <f t="shared" si="29"/>
        <v>6.4030502206020079E-2</v>
      </c>
      <c r="F180">
        <f t="shared" si="26"/>
        <v>7.0211020014988038E-2</v>
      </c>
    </row>
    <row r="181" spans="1:6" x14ac:dyDescent="0.3">
      <c r="A181">
        <f t="shared" si="27"/>
        <v>2.671875</v>
      </c>
      <c r="B181">
        <f t="shared" si="29"/>
        <v>0</v>
      </c>
      <c r="C181">
        <f t="shared" si="29"/>
        <v>2.6901547050567792E-44</v>
      </c>
      <c r="D181">
        <f t="shared" si="29"/>
        <v>4.9921893410966186E-4</v>
      </c>
      <c r="E181">
        <f t="shared" si="29"/>
        <v>6.1921349699920088E-2</v>
      </c>
      <c r="F181">
        <f t="shared" si="26"/>
        <v>6.9122499043271141E-2</v>
      </c>
    </row>
    <row r="182" spans="1:6" x14ac:dyDescent="0.3">
      <c r="A182">
        <f t="shared" si="27"/>
        <v>2.6875</v>
      </c>
      <c r="B182">
        <f t="shared" si="29"/>
        <v>0</v>
      </c>
      <c r="C182">
        <f t="shared" si="29"/>
        <v>1.5475438443034593E-46</v>
      </c>
      <c r="D182">
        <f t="shared" si="29"/>
        <v>3.9951499650224092E-4</v>
      </c>
      <c r="E182">
        <f t="shared" si="29"/>
        <v>5.9859751529176747E-2</v>
      </c>
      <c r="F182">
        <f t="shared" si="26"/>
        <v>6.8050854025010196E-2</v>
      </c>
    </row>
    <row r="183" spans="1:6" x14ac:dyDescent="0.3">
      <c r="A183">
        <f t="shared" si="27"/>
        <v>2.703125</v>
      </c>
      <c r="B183">
        <f t="shared" si="29"/>
        <v>0</v>
      </c>
      <c r="C183">
        <f t="shared" si="29"/>
        <v>6.8962368340451075E-49</v>
      </c>
      <c r="D183">
        <f t="shared" si="29"/>
        <v>3.1789823721981969E-4</v>
      </c>
      <c r="E183">
        <f t="shared" si="29"/>
        <v>5.7845424674508934E-2</v>
      </c>
      <c r="F183">
        <f t="shared" si="26"/>
        <v>6.6995823322797687E-2</v>
      </c>
    </row>
    <row r="184" spans="1:6" x14ac:dyDescent="0.3">
      <c r="A184">
        <f t="shared" si="27"/>
        <v>2.71875</v>
      </c>
      <c r="B184">
        <f t="shared" si="29"/>
        <v>0</v>
      </c>
      <c r="C184">
        <f t="shared" si="29"/>
        <v>2.3509614290861874E-51</v>
      </c>
      <c r="D184">
        <f t="shared" si="29"/>
        <v>2.5147696708777151E-4</v>
      </c>
      <c r="E184">
        <f t="shared" si="29"/>
        <v>5.5878061677608275E-2</v>
      </c>
      <c r="F184">
        <f t="shared" si="26"/>
        <v>6.5957149355538175E-2</v>
      </c>
    </row>
    <row r="185" spans="1:6" x14ac:dyDescent="0.3">
      <c r="A185">
        <f t="shared" si="27"/>
        <v>2.734375</v>
      </c>
      <c r="B185">
        <f t="shared" si="29"/>
        <v>0</v>
      </c>
      <c r="C185">
        <f t="shared" si="29"/>
        <v>6.0511344858277062E-54</v>
      </c>
      <c r="D185">
        <f t="shared" si="29"/>
        <v>1.9774434976451335E-4</v>
      </c>
      <c r="E185">
        <f t="shared" si="29"/>
        <v>5.3957331226331867E-2</v>
      </c>
      <c r="F185">
        <f t="shared" si="26"/>
        <v>6.4934578535560894E-2</v>
      </c>
    </row>
    <row r="186" spans="1:6" x14ac:dyDescent="0.3">
      <c r="A186">
        <f t="shared" si="27"/>
        <v>2.75</v>
      </c>
      <c r="B186">
        <f t="shared" si="29"/>
        <v>0</v>
      </c>
      <c r="C186">
        <f t="shared" si="29"/>
        <v>1.1598451858162342E-56</v>
      </c>
      <c r="D186">
        <f t="shared" si="29"/>
        <v>1.5454147762269431E-4</v>
      </c>
      <c r="E186">
        <f t="shared" si="29"/>
        <v>5.208287876325373E-2</v>
      </c>
      <c r="F186">
        <f t="shared" si="26"/>
        <v>6.392786120670757E-2</v>
      </c>
    </row>
    <row r="187" spans="1:6" x14ac:dyDescent="0.3">
      <c r="A187">
        <f t="shared" si="27"/>
        <v>2.765625</v>
      </c>
      <c r="B187">
        <f t="shared" si="29"/>
        <v>0</v>
      </c>
      <c r="C187">
        <f t="shared" si="29"/>
        <v>1.6317570721898007E-59</v>
      </c>
      <c r="D187">
        <f t="shared" si="29"/>
        <v>1.2002150434519032E-4</v>
      </c>
      <c r="E187">
        <f t="shared" si="29"/>
        <v>5.0254327116600522E-2</v>
      </c>
      <c r="F187">
        <f t="shared" si="26"/>
        <v>6.2936751583379871E-2</v>
      </c>
    </row>
    <row r="188" spans="1:6" x14ac:dyDescent="0.3">
      <c r="A188">
        <f t="shared" si="27"/>
        <v>2.78125</v>
      </c>
      <c r="B188">
        <f t="shared" si="29"/>
        <v>0</v>
      </c>
      <c r="C188">
        <f t="shared" si="29"/>
        <v>1.6596464254458666E-62</v>
      </c>
      <c r="D188">
        <f t="shared" si="29"/>
        <v>9.2615264958970569E-5</v>
      </c>
      <c r="E188">
        <f t="shared" si="29"/>
        <v>4.8471277152551701E-2</v>
      </c>
      <c r="F188">
        <f t="shared" si="26"/>
        <v>6.1961007690531984E-2</v>
      </c>
    </row>
    <row r="189" spans="1:6" x14ac:dyDescent="0.3">
      <c r="A189">
        <f t="shared" si="27"/>
        <v>2.796875</v>
      </c>
      <c r="B189">
        <f t="shared" si="29"/>
        <v>0</v>
      </c>
      <c r="C189">
        <f t="shared" si="29"/>
        <v>1.2010731275793257E-65</v>
      </c>
      <c r="D189">
        <f t="shared" si="29"/>
        <v>7.0998729499415763E-5</v>
      </c>
      <c r="E189">
        <f t="shared" si="29"/>
        <v>4.6733308447848003E-2</v>
      </c>
      <c r="F189">
        <f t="shared" si="26"/>
        <v>6.1000391304593442E-2</v>
      </c>
    </row>
    <row r="190" spans="1:6" x14ac:dyDescent="0.3">
      <c r="A190">
        <f t="shared" si="27"/>
        <v>2.8125</v>
      </c>
      <c r="B190">
        <f t="shared" ref="B190:E202" si="30">B$5*B$4*EXP(B$5*$A190-B$4*(EXP(B$5*$A190)-1))</f>
        <v>0</v>
      </c>
      <c r="C190">
        <f t="shared" si="30"/>
        <v>6.0822935217309649E-69</v>
      </c>
      <c r="D190">
        <f t="shared" si="30"/>
        <v>5.4062553756615613E-5</v>
      </c>
      <c r="E190">
        <f t="shared" si="30"/>
        <v>4.503997998161012E-2</v>
      </c>
      <c r="F190">
        <f t="shared" si="26"/>
        <v>6.0054667895307945E-2</v>
      </c>
    </row>
    <row r="191" spans="1:6" x14ac:dyDescent="0.3">
      <c r="A191">
        <f t="shared" si="27"/>
        <v>2.828125</v>
      </c>
      <c r="B191">
        <f t="shared" si="30"/>
        <v>0</v>
      </c>
      <c r="C191">
        <f t="shared" si="30"/>
        <v>2.1178929222499972E-72</v>
      </c>
      <c r="D191">
        <f t="shared" si="30"/>
        <v>4.0883911716092286E-5</v>
      </c>
      <c r="E191">
        <f t="shared" si="30"/>
        <v>4.33908308452347E-2</v>
      </c>
      <c r="F191">
        <f t="shared" si="26"/>
        <v>5.9123606568473756E-2</v>
      </c>
    </row>
    <row r="192" spans="1:6" x14ac:dyDescent="0.3">
      <c r="A192">
        <f t="shared" si="27"/>
        <v>2.84375</v>
      </c>
      <c r="B192">
        <f t="shared" si="30"/>
        <v>0</v>
      </c>
      <c r="C192">
        <f t="shared" si="30"/>
        <v>4.9785278291749493E-76</v>
      </c>
      <c r="D192">
        <f t="shared" si="30"/>
        <v>3.0700721148088722E-5</v>
      </c>
      <c r="E192">
        <f t="shared" si="30"/>
        <v>4.1785380969201043E-2</v>
      </c>
      <c r="F192">
        <f t="shared" si="26"/>
        <v>5.8206980009571974E-2</v>
      </c>
    </row>
    <row r="193" spans="1:6" x14ac:dyDescent="0.3">
      <c r="A193">
        <f t="shared" si="27"/>
        <v>2.859375</v>
      </c>
      <c r="B193">
        <f t="shared" si="30"/>
        <v>0</v>
      </c>
      <c r="C193">
        <f t="shared" si="30"/>
        <v>7.7497640217986822E-80</v>
      </c>
      <c r="D193">
        <f t="shared" si="30"/>
        <v>2.2888307730238988E-5</v>
      </c>
      <c r="E193">
        <f t="shared" si="30"/>
        <v>4.0223131865589068E-2</v>
      </c>
      <c r="F193">
        <f t="shared" si="26"/>
        <v>5.7304564428268645E-2</v>
      </c>
    </row>
    <row r="194" spans="1:6" x14ac:dyDescent="0.3">
      <c r="A194">
        <f t="shared" si="27"/>
        <v>2.875</v>
      </c>
      <c r="B194">
        <f t="shared" si="30"/>
        <v>0</v>
      </c>
      <c r="C194">
        <f t="shared" si="30"/>
        <v>7.8286409313950762E-84</v>
      </c>
      <c r="D194">
        <f t="shared" si="30"/>
        <v>1.6938495128393712E-5</v>
      </c>
      <c r="E194">
        <f t="shared" si="30"/>
        <v>3.8703567385081496E-2</v>
      </c>
      <c r="F194">
        <f t="shared" si="26"/>
        <v>5.641613950377735E-2</v>
      </c>
    </row>
    <row r="195" spans="1:6" x14ac:dyDescent="0.3">
      <c r="A195">
        <f t="shared" si="27"/>
        <v>2.890625</v>
      </c>
      <c r="B195">
        <f t="shared" si="30"/>
        <v>0</v>
      </c>
      <c r="C195">
        <f t="shared" si="30"/>
        <v>5.0243943669751705E-88</v>
      </c>
      <c r="D195">
        <f t="shared" si="30"/>
        <v>1.2441059241487396E-5</v>
      </c>
      <c r="E195">
        <f t="shared" si="30"/>
        <v>3.7226154487195469E-2</v>
      </c>
      <c r="F195">
        <f t="shared" si="26"/>
        <v>5.5541488331068867E-2</v>
      </c>
    </row>
    <row r="196" spans="1:6" x14ac:dyDescent="0.3">
      <c r="A196">
        <f t="shared" si="27"/>
        <v>2.90625</v>
      </c>
      <c r="B196">
        <f t="shared" si="30"/>
        <v>0</v>
      </c>
      <c r="C196">
        <f t="shared" si="30"/>
        <v>2.0036313763449173E-92</v>
      </c>
      <c r="D196">
        <f t="shared" si="30"/>
        <v>9.0674445992125666E-6</v>
      </c>
      <c r="E196">
        <f t="shared" si="30"/>
        <v>3.579034402246601E-2</v>
      </c>
      <c r="F196">
        <f t="shared" si="26"/>
        <v>5.4680397367914767E-2</v>
      </c>
    </row>
    <row r="197" spans="1:6" x14ac:dyDescent="0.3">
      <c r="A197">
        <f t="shared" si="27"/>
        <v>2.921875</v>
      </c>
      <c r="B197">
        <f t="shared" si="30"/>
        <v>0</v>
      </c>
      <c r="C197">
        <f t="shared" si="30"/>
        <v>4.8501151310566907E-97</v>
      </c>
      <c r="D197">
        <f t="shared" si="30"/>
        <v>6.5566096062701996E-6</v>
      </c>
      <c r="E197">
        <f t="shared" si="30"/>
        <v>3.439557152528222E-2</v>
      </c>
      <c r="F197">
        <f t="shared" si="26"/>
        <v>5.3832656382752003E-2</v>
      </c>
    </row>
    <row r="198" spans="1:6" x14ac:dyDescent="0.3">
      <c r="A198">
        <f t="shared" si="27"/>
        <v>2.9375</v>
      </c>
      <c r="B198">
        <f t="shared" si="30"/>
        <v>0</v>
      </c>
      <c r="C198">
        <f t="shared" si="30"/>
        <v>6.9542862182107354E-102</v>
      </c>
      <c r="D198">
        <f t="shared" si="30"/>
        <v>4.7028445773128155E-6</v>
      </c>
      <c r="E198">
        <f t="shared" si="30"/>
        <v>3.3041258016059831E-2</v>
      </c>
      <c r="F198">
        <f t="shared" si="26"/>
        <v>5.2998058403355801E-2</v>
      </c>
    </row>
    <row r="199" spans="1:6" x14ac:dyDescent="0.3">
      <c r="A199">
        <f t="shared" si="27"/>
        <v>2.953125</v>
      </c>
      <c r="B199">
        <f t="shared" si="30"/>
        <v>0</v>
      </c>
      <c r="C199">
        <f t="shared" si="30"/>
        <v>5.7565721612958958E-107</v>
      </c>
      <c r="D199">
        <f t="shared" si="30"/>
        <v>3.3453916798959014E-6</v>
      </c>
      <c r="E199">
        <f t="shared" si="30"/>
        <v>3.1726810811417767E-2</v>
      </c>
      <c r="F199">
        <f t="shared" si="26"/>
        <v>5.2176399666308333E-2</v>
      </c>
    </row>
    <row r="200" spans="1:6" x14ac:dyDescent="0.3">
      <c r="A200">
        <f t="shared" si="27"/>
        <v>2.96875</v>
      </c>
      <c r="B200">
        <f t="shared" si="30"/>
        <v>0</v>
      </c>
      <c r="C200">
        <f t="shared" si="30"/>
        <v>2.6778340013366047E-112</v>
      </c>
      <c r="D200">
        <f t="shared" si="30"/>
        <v>2.3596881873247106E-6</v>
      </c>
      <c r="E200">
        <f t="shared" si="30"/>
        <v>3.0451624341014689E-2</v>
      </c>
      <c r="F200">
        <f t="shared" si="26"/>
        <v>5.1367479567250733E-2</v>
      </c>
    </row>
    <row r="201" spans="1:6" x14ac:dyDescent="0.3">
      <c r="A201">
        <f t="shared" si="27"/>
        <v>2.984375</v>
      </c>
      <c r="B201">
        <f t="shared" si="30"/>
        <v>0</v>
      </c>
      <c r="C201">
        <f t="shared" si="30"/>
        <v>6.8051089677494632E-118</v>
      </c>
      <c r="D201">
        <f t="shared" si="30"/>
        <v>1.6500528970684534E-6</v>
      </c>
      <c r="E201">
        <f t="shared" si="30"/>
        <v>2.9215080969693288E-2</v>
      </c>
      <c r="F201">
        <f t="shared" si="26"/>
        <v>5.0571100611906464E-2</v>
      </c>
    </row>
    <row r="202" spans="1:6" x14ac:dyDescent="0.3">
      <c r="A202">
        <f t="shared" si="27"/>
        <v>3</v>
      </c>
      <c r="B202">
        <f t="shared" si="30"/>
        <v>0</v>
      </c>
      <c r="C202">
        <f t="shared" si="30"/>
        <v>9.1714820921896131E-124</v>
      </c>
      <c r="D202">
        <f t="shared" si="30"/>
        <v>1.1436391775582719E-6</v>
      </c>
      <c r="E202">
        <f t="shared" si="30"/>
        <v>2.8016551823572464E-2</v>
      </c>
      <c r="F202">
        <f t="shared" si="26"/>
        <v>4.9787068367863944E-2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C4E47-2C58-402F-A5CC-E3E7970457B6}">
  <sheetPr codeName="Sheet7"/>
  <dimension ref="A1:AN85"/>
  <sheetViews>
    <sheetView zoomScaleNormal="100" workbookViewId="0"/>
  </sheetViews>
  <sheetFormatPr defaultRowHeight="14.4" x14ac:dyDescent="0.3"/>
  <cols>
    <col min="2" max="2" width="12" bestFit="1" customWidth="1"/>
    <col min="8" max="8" width="12" bestFit="1" customWidth="1"/>
    <col min="13" max="13" width="12" bestFit="1" customWidth="1"/>
  </cols>
  <sheetData>
    <row r="1" spans="1:40" x14ac:dyDescent="0.3">
      <c r="A1" s="1" t="s">
        <v>105</v>
      </c>
      <c r="G1" s="1"/>
      <c r="V1" s="1" t="s">
        <v>26</v>
      </c>
      <c r="AE1" s="1" t="s">
        <v>83</v>
      </c>
      <c r="AI1" s="1" t="s">
        <v>101</v>
      </c>
      <c r="AJ1" s="1"/>
    </row>
    <row r="3" spans="1:40" x14ac:dyDescent="0.3">
      <c r="A3" t="s">
        <v>11</v>
      </c>
      <c r="B3">
        <v>1.20205690315959</v>
      </c>
    </row>
    <row r="5" spans="1:40" x14ac:dyDescent="0.3">
      <c r="AA5" s="1" t="s">
        <v>107</v>
      </c>
    </row>
    <row r="6" spans="1:40" x14ac:dyDescent="0.3">
      <c r="AA6">
        <v>0</v>
      </c>
      <c r="AB6">
        <v>1</v>
      </c>
    </row>
    <row r="7" spans="1:40" x14ac:dyDescent="0.3">
      <c r="L7" s="1" t="s">
        <v>106</v>
      </c>
      <c r="AA7">
        <v>0.4</v>
      </c>
      <c r="AB7">
        <v>1</v>
      </c>
    </row>
    <row r="8" spans="1:40" x14ac:dyDescent="0.3">
      <c r="A8" s="1" t="s">
        <v>59</v>
      </c>
      <c r="G8" s="1" t="s">
        <v>60</v>
      </c>
      <c r="M8" t="s">
        <v>62</v>
      </c>
      <c r="N8">
        <v>1</v>
      </c>
      <c r="O8">
        <v>2</v>
      </c>
      <c r="P8">
        <v>3</v>
      </c>
      <c r="Q8">
        <v>4</v>
      </c>
      <c r="R8">
        <v>5</v>
      </c>
      <c r="S8">
        <v>6</v>
      </c>
      <c r="T8">
        <v>7</v>
      </c>
      <c r="U8">
        <v>8</v>
      </c>
    </row>
    <row r="9" spans="1:40" x14ac:dyDescent="0.3">
      <c r="A9" t="s">
        <v>2</v>
      </c>
      <c r="B9" t="s">
        <v>6</v>
      </c>
      <c r="C9" t="s">
        <v>8</v>
      </c>
      <c r="D9" t="s">
        <v>9</v>
      </c>
      <c r="E9" t="s">
        <v>10</v>
      </c>
      <c r="G9" t="s">
        <v>3</v>
      </c>
      <c r="H9" t="s">
        <v>6</v>
      </c>
      <c r="I9" t="s">
        <v>12</v>
      </c>
      <c r="J9" t="s">
        <v>13</v>
      </c>
      <c r="L9" t="s">
        <v>61</v>
      </c>
      <c r="M9" t="s">
        <v>0</v>
      </c>
      <c r="N9" s="6" t="s">
        <v>15</v>
      </c>
      <c r="O9" s="6" t="s">
        <v>16</v>
      </c>
      <c r="P9" s="6" t="s">
        <v>17</v>
      </c>
      <c r="Q9" s="6" t="s">
        <v>18</v>
      </c>
      <c r="R9" s="6" t="s">
        <v>19</v>
      </c>
      <c r="S9" s="6" t="s">
        <v>20</v>
      </c>
      <c r="T9" s="6" t="s">
        <v>21</v>
      </c>
      <c r="U9" s="6" t="s">
        <v>22</v>
      </c>
      <c r="V9" s="6" t="str">
        <f t="array" ref="V9:AC9">N9:U9</f>
        <v>mode</v>
      </c>
      <c r="W9" s="6" t="str">
        <v>median</v>
      </c>
      <c r="X9" s="6" t="str">
        <v>esm3</v>
      </c>
      <c r="Y9" s="6" t="str">
        <v>esm2</v>
      </c>
      <c r="Z9" s="6" t="str">
        <v>mh2</v>
      </c>
      <c r="AA9" s="6" t="str">
        <v>mh3</v>
      </c>
      <c r="AB9" s="6" t="str">
        <v>mean</v>
      </c>
      <c r="AC9" s="6" t="str">
        <v>mackle</v>
      </c>
      <c r="AE9" t="s">
        <v>6</v>
      </c>
      <c r="AF9" t="s">
        <v>23</v>
      </c>
      <c r="AG9" t="s">
        <v>24</v>
      </c>
      <c r="AI9" t="s">
        <v>25</v>
      </c>
      <c r="AJ9" t="s">
        <v>6</v>
      </c>
      <c r="AK9" t="s">
        <v>99</v>
      </c>
      <c r="AL9" t="s">
        <v>100</v>
      </c>
      <c r="AM9" t="s">
        <v>3</v>
      </c>
      <c r="AN9" t="s">
        <v>84</v>
      </c>
    </row>
    <row r="10" spans="1:40" x14ac:dyDescent="0.3">
      <c r="A10">
        <v>0</v>
      </c>
      <c r="D10">
        <f>-2*6^1.5/PI()^3*B3</f>
        <v>-1.139547099404645</v>
      </c>
      <c r="E10">
        <v>2.4</v>
      </c>
      <c r="G10">
        <v>0</v>
      </c>
      <c r="I10">
        <f>3-2*LN(3)/LN(2)</f>
        <v>-0.1699250014423126</v>
      </c>
      <c r="J10">
        <f>16-10*LN(3)/LN(2)</f>
        <v>0.15037499278843569</v>
      </c>
      <c r="L10">
        <v>0</v>
      </c>
      <c r="M10">
        <v>0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E10" cm="1">
        <f t="array" ref="AE10">criticaleta(AF10,AG10)</f>
        <v>0.30685281944005283</v>
      </c>
      <c r="AF10">
        <v>1</v>
      </c>
      <c r="AG10">
        <v>2</v>
      </c>
      <c r="AI10">
        <v>1</v>
      </c>
      <c r="AJ10">
        <f t="shared" ref="AJ10:AJ37" si="0">SMALL($AE$10:$AE$37,AI10)</f>
        <v>0.10717940081061669</v>
      </c>
      <c r="AK10" t="str" cm="1">
        <f t="array" ref="AK10">INDEX($N$9:$U$9,1,VLOOKUP(AJ10,CriticalPointList,2,FALSE))</f>
        <v>mh3</v>
      </c>
      <c r="AL10" t="str" cm="1">
        <f t="array" ref="AL10">INDEX($N$9:$U$9,1,VLOOKUP(AJ10,CriticalPointList,3,FALSE))</f>
        <v>mean</v>
      </c>
      <c r="AM10" cm="1">
        <f t="array" ref="AM10">GompGini(AJ10,0)</f>
        <v>0.26253993610108939</v>
      </c>
      <c r="AN10" cm="1">
        <f t="array" ref="AN10">GompCov(AJ10,0)</f>
        <v>0.45881970357897167</v>
      </c>
    </row>
    <row r="11" spans="1:40" x14ac:dyDescent="0.3">
      <c r="A11">
        <f>A10+1/64</f>
        <v>1.5625E-2</v>
      </c>
      <c r="B11" cm="1">
        <f t="array" ref="B11">GompEtafromCoV(A11)</f>
        <v>1.2619505159190657E-36</v>
      </c>
      <c r="C11" cm="1">
        <f t="array" ref="C11">GompCov(B11,0)</f>
        <v>1.5624999999994987E-2</v>
      </c>
      <c r="D11" cm="1">
        <f t="array" ref="D11">GompMSkew(B11,0)</f>
        <v>-1.1395470993606467</v>
      </c>
      <c r="E11" cm="1">
        <f t="array" ref="E11">GompMKurt(B11,0)</f>
        <v>2.39999999806196</v>
      </c>
      <c r="G11">
        <f>G10+1/128</f>
        <v>7.8125E-3</v>
      </c>
      <c r="H11" cm="1">
        <f t="array" ref="H11">GompEtafromGini(G11)</f>
        <v>1.6499811278087731E-39</v>
      </c>
      <c r="I11" cm="1">
        <f t="array" ref="I11">GompLSkew(H11,0)</f>
        <v>-0.16992500144229705</v>
      </c>
      <c r="J11" cm="1">
        <f t="array" ref="J11">GompLKurt(H11,0)</f>
        <v>0.15037499278851474</v>
      </c>
      <c r="L11">
        <f>L10+1/64</f>
        <v>1.5625E-2</v>
      </c>
      <c r="M11">
        <f>1/(EXP(1/L11-1)-1)</f>
        <v>4.3596100000630809E-28</v>
      </c>
      <c r="N11" cm="1">
        <f t="array" ref="N11">LocationList8(N$8,$M11,1)</f>
        <v>63</v>
      </c>
      <c r="O11" cm="1">
        <f t="array" ref="O11">LocationList8(O$8,$M11,1)</f>
        <v>62.633487079418337</v>
      </c>
      <c r="P11" cm="1">
        <f t="array" ref="P11">LocationList8(P$8,$M11,1)</f>
        <v>62.574449390611107</v>
      </c>
      <c r="Q11" cm="1">
        <f t="array" ref="Q11">LocationList8(Q$8,$M11,1)</f>
        <v>62.540567370754843</v>
      </c>
      <c r="R11" cm="1">
        <f t="array" ref="R11">LocationList8(R$8,$M11,1)</f>
        <v>62.540367468135514</v>
      </c>
      <c r="S11" cm="1">
        <f t="array" ref="S11">LocationList8(S$8,$M11,1)</f>
        <v>62.504900601639832</v>
      </c>
      <c r="T11" cm="1">
        <f t="array" ref="T11">LocationList8(T$8,$M11,1)</f>
        <v>62.42278433509847</v>
      </c>
      <c r="U11" cm="1">
        <f t="array" ref="U11">LocationList8(U$8,$M11,1)</f>
        <v>61.956193458453022</v>
      </c>
      <c r="V11">
        <f t="array" ref="V11:AC44">N11:U44/T11:T44</f>
        <v>1.0092468746956706</v>
      </c>
      <c r="W11">
        <v>1.0033754140665814</v>
      </c>
      <c r="X11">
        <v>1.0024296425916932</v>
      </c>
      <c r="Y11">
        <v>1.0018868596925137</v>
      </c>
      <c r="Z11">
        <v>1.0018836572941994</v>
      </c>
      <c r="AA11">
        <v>1.0013154854820405</v>
      </c>
      <c r="AB11">
        <v>1</v>
      </c>
      <c r="AC11">
        <v>0.99252531136482647</v>
      </c>
      <c r="AE11" cm="1">
        <f t="array" ref="AE11">criticaleta(AF11,AG11)</f>
        <v>0.30363972048870647</v>
      </c>
      <c r="AF11">
        <v>1</v>
      </c>
      <c r="AG11">
        <v>3</v>
      </c>
      <c r="AI11">
        <f>AI10+1</f>
        <v>2</v>
      </c>
      <c r="AJ11">
        <f t="shared" si="0"/>
        <v>0.1386896373642344</v>
      </c>
      <c r="AK11" t="str" cm="1">
        <f t="array" ref="AK11">INDEX($N$9:$U$9,1,VLOOKUP(AJ11,CriticalPointList,2,FALSE))</f>
        <v>mh2</v>
      </c>
      <c r="AL11" t="str" cm="1">
        <f t="array" ref="AL11">INDEX($N$9:$U$9,1,VLOOKUP(AJ11,CriticalPointList,3,FALSE))</f>
        <v>mean</v>
      </c>
      <c r="AM11" cm="1">
        <f t="array" ref="AM11">GompGini(AJ11,0)</f>
        <v>0.27698172261603521</v>
      </c>
      <c r="AN11" cm="1">
        <f t="array" ref="AN11">GompCov(AJ11,0)</f>
        <v>0.4833530193193934</v>
      </c>
    </row>
    <row r="12" spans="1:40" x14ac:dyDescent="0.3">
      <c r="A12">
        <f t="shared" ref="A12:A74" si="1">A11+1/64</f>
        <v>3.125E-2</v>
      </c>
      <c r="B12" cm="1">
        <f t="array" ref="B12">GompEtafromCoV(A12)</f>
        <v>8.4174466732469723E-19</v>
      </c>
      <c r="C12" cm="1">
        <f t="array" ref="C12">GompCov(B12,0)</f>
        <v>3.1250000000000021E-2</v>
      </c>
      <c r="D12" cm="1">
        <f t="array" ref="D12">GompMSkew(B12,0)</f>
        <v>-1.1395470994057297</v>
      </c>
      <c r="E12" cm="1">
        <f t="array" ref="E12">GompMKurt(B12,0)</f>
        <v>2.3999999999659698</v>
      </c>
      <c r="G12">
        <f t="shared" ref="G12:G74" si="2">G11+1/128</f>
        <v>1.5625E-2</v>
      </c>
      <c r="H12" cm="1">
        <f t="array" ref="H12">GompEtafromGini(G12)</f>
        <v>3.0436779592645122E-20</v>
      </c>
      <c r="I12" cm="1">
        <f t="array" ref="I12">GompLSkew(H12,0)</f>
        <v>-0.16992500144229705</v>
      </c>
      <c r="J12" cm="1">
        <f t="array" ref="J12">GompLKurt(H12,0)</f>
        <v>0.15037499278846347</v>
      </c>
      <c r="L12">
        <f t="shared" ref="L12:L26" si="3">L11+1/64</f>
        <v>3.125E-2</v>
      </c>
      <c r="M12">
        <f t="shared" ref="M12:M26" si="4">1/(EXP(1/L12-1)-1)</f>
        <v>3.4424771084700948E-14</v>
      </c>
      <c r="N12" cm="1">
        <f t="array" ref="N12">LocationList8(N$8,$M12,1)</f>
        <v>30.999999999999964</v>
      </c>
      <c r="O12" cm="1">
        <f t="array" ref="O12">LocationList8(O$8,$M12,1)</f>
        <v>30.633487079418352</v>
      </c>
      <c r="P12" cm="1">
        <f t="array" ref="P12">LocationList8(P$8,$M12,1)</f>
        <v>30.574449390611164</v>
      </c>
      <c r="Q12" cm="1">
        <f t="array" ref="Q12">LocationList8(Q$8,$M12,1)</f>
        <v>30.5405673707549</v>
      </c>
      <c r="R12" cm="1">
        <f t="array" ref="R12">LocationList8(R$8,$M12,1)</f>
        <v>30.540367468135557</v>
      </c>
      <c r="S12" cm="1">
        <f t="array" ref="S12">LocationList8(S$8,$M12,1)</f>
        <v>30.504900601639882</v>
      </c>
      <c r="T12" cm="1">
        <f t="array" ref="T12">LocationList8(T$8,$M12,1)</f>
        <v>30.422784335099514</v>
      </c>
      <c r="U12" cm="1">
        <f t="array" ref="U12">LocationList8(U$8,$M12,1)</f>
        <v>29.956193458640797</v>
      </c>
      <c r="V12">
        <v>1.0189731373217705</v>
      </c>
      <c r="W12">
        <v>1.0069258205297056</v>
      </c>
      <c r="X12">
        <v>1.0049852457237674</v>
      </c>
      <c r="Y12">
        <v>1.0038715403020984</v>
      </c>
      <c r="Z12">
        <v>1.0038649694827697</v>
      </c>
      <c r="AA12">
        <v>1.0026991699916705</v>
      </c>
      <c r="AB12">
        <v>1</v>
      </c>
      <c r="AC12">
        <v>0.98466311066997247</v>
      </c>
      <c r="AE12" cm="1">
        <f t="array" ref="AE12">criticaleta(AF12,AG12)</f>
        <v>0.30006290858012785</v>
      </c>
      <c r="AF12">
        <v>1</v>
      </c>
      <c r="AG12">
        <v>4</v>
      </c>
      <c r="AI12">
        <f t="shared" ref="AI12:AI37" si="5">AI11+1</f>
        <v>3</v>
      </c>
      <c r="AJ12">
        <f t="shared" si="0"/>
        <v>0.1450876275288806</v>
      </c>
      <c r="AK12" t="str" cm="1">
        <f t="array" ref="AK12">INDEX($N$9:$U$9,1,VLOOKUP(AJ12,CriticalPointList,2,FALSE))</f>
        <v>mh3</v>
      </c>
      <c r="AL12" t="str" cm="1">
        <f t="array" ref="AL12">INDEX($N$9:$U$9,1,VLOOKUP(AJ12,CriticalPointList,3,FALSE))</f>
        <v>mackle</v>
      </c>
      <c r="AM12" cm="1">
        <f t="array" ref="AM12">GompGini(AJ12,0)</f>
        <v>0.27956344579777398</v>
      </c>
      <c r="AN12" cm="1">
        <f t="array" ref="AN12">GompCov(AJ12,0)</f>
        <v>0.48777371462904801</v>
      </c>
    </row>
    <row r="13" spans="1:40" x14ac:dyDescent="0.3">
      <c r="A13">
        <f t="shared" si="1"/>
        <v>4.6875E-2</v>
      </c>
      <c r="B13" cm="1">
        <f t="array" ref="B13">GompEtafromCoV(A13)</f>
        <v>7.3546113091750765E-13</v>
      </c>
      <c r="C13" cm="1">
        <f t="array" ref="C13">GompCov(B13,0)</f>
        <v>4.6874999999994151E-2</v>
      </c>
      <c r="D13" cm="1">
        <f t="array" ref="D13">GompMSkew(B13,0)</f>
        <v>-1.1395470920842599</v>
      </c>
      <c r="E13" cm="1">
        <f t="array" ref="E13">GompMKurt(B13,0)</f>
        <v>2.3999998269072869</v>
      </c>
      <c r="G13">
        <f t="shared" si="2"/>
        <v>2.34375E-2</v>
      </c>
      <c r="H13" cm="1">
        <f t="array" ref="H13">GompEtafromGini(G13)</f>
        <v>8.0421457605389462E-14</v>
      </c>
      <c r="I13" cm="1">
        <f t="array" ref="I13">GompLSkew(H13,0)</f>
        <v>-0.16992500143959757</v>
      </c>
      <c r="J13" cm="1">
        <f t="array" ref="J13">GompLKurt(H13,0)</f>
        <v>0.15037499278584127</v>
      </c>
      <c r="L13">
        <f t="shared" si="3"/>
        <v>4.6875E-2</v>
      </c>
      <c r="M13">
        <f t="shared" si="4"/>
        <v>1.4768811085609925E-9</v>
      </c>
      <c r="N13" cm="1">
        <f t="array" ref="N13">LocationList8(N$8,$M13,1)</f>
        <v>20.333333331856451</v>
      </c>
      <c r="O13" cm="1">
        <f t="array" ref="O13">LocationList8(O$8,$M13,1)</f>
        <v>19.966820413405475</v>
      </c>
      <c r="P13" cm="1">
        <f t="array" ref="P13">LocationList8(P$8,$M13,1)</f>
        <v>19.907782725327024</v>
      </c>
      <c r="Q13" cm="1">
        <f t="array" ref="Q13">LocationList8(Q$8,$M13,1)</f>
        <v>19.873900706204239</v>
      </c>
      <c r="R13" cm="1">
        <f t="array" ref="R13">LocationList8(R$8,$M13,1)</f>
        <v>19.873700803091509</v>
      </c>
      <c r="S13" cm="1">
        <f t="array" ref="S13">LocationList8(S$8,$M13,1)</f>
        <v>19.838233937181407</v>
      </c>
      <c r="T13" cm="1">
        <f t="array" ref="T13">LocationList8(T$8,$M13,1)</f>
        <v>19.756117697609234</v>
      </c>
      <c r="U13" cm="1">
        <f t="array" ref="U13">LocationList8(U$8,$M13,1)</f>
        <v>19.289529014483971</v>
      </c>
      <c r="V13">
        <v>1.0292170578795989</v>
      </c>
      <c r="W13">
        <v>1.0106651883240065</v>
      </c>
      <c r="X13">
        <v>1.0076768639486362</v>
      </c>
      <c r="Y13">
        <v>1.005961849913926</v>
      </c>
      <c r="Z13">
        <v>1.0059517313716198</v>
      </c>
      <c r="AA13">
        <v>1.0041564967788237</v>
      </c>
      <c r="AB13">
        <v>1</v>
      </c>
      <c r="AC13">
        <v>0.97638257221044367</v>
      </c>
      <c r="AE13" cm="1">
        <f t="array" ref="AE13">criticaleta(AF13,AG13)</f>
        <v>0.30394878419325544</v>
      </c>
      <c r="AF13">
        <v>1</v>
      </c>
      <c r="AG13">
        <v>5</v>
      </c>
      <c r="AI13">
        <f t="shared" si="5"/>
        <v>4</v>
      </c>
      <c r="AJ13">
        <f t="shared" si="0"/>
        <v>0.15067797101932004</v>
      </c>
      <c r="AK13" t="str" cm="1">
        <f t="array" ref="AK13">INDEX($N$9:$U$9,1,VLOOKUP(AJ13,CriticalPointList,2,FALSE))</f>
        <v>mh2</v>
      </c>
      <c r="AL13" t="str" cm="1">
        <f t="array" ref="AL13">INDEX($N$9:$U$9,1,VLOOKUP(AJ13,CriticalPointList,3,FALSE))</f>
        <v>mackle</v>
      </c>
      <c r="AM13" cm="1">
        <f t="array" ref="AM13">GompGini(AJ13,0)</f>
        <v>0.28173929467199699</v>
      </c>
      <c r="AN13" cm="1">
        <f t="array" ref="AN13">GompCov(AJ13,0)</f>
        <v>0.49150855301607743</v>
      </c>
    </row>
    <row r="14" spans="1:40" x14ac:dyDescent="0.3">
      <c r="A14">
        <f t="shared" si="1"/>
        <v>6.25E-2</v>
      </c>
      <c r="B14" cm="1">
        <f t="array" ref="B14">GompEtafromCoV(A14)</f>
        <v>6.874644825626432E-10</v>
      </c>
      <c r="C14" cm="1">
        <f t="array" ref="C14">GompCov(B14,0)</f>
        <v>6.2499999999993276E-2</v>
      </c>
      <c r="D14" cm="1">
        <f t="array" ref="D14">GompMSkew(B14,0)</f>
        <v>-1.1395441956054111</v>
      </c>
      <c r="E14" cm="1">
        <f t="array" ref="E14">GompMKurt(B14,0)</f>
        <v>2.3999468930857772</v>
      </c>
      <c r="G14">
        <f t="shared" si="2"/>
        <v>3.125E-2</v>
      </c>
      <c r="H14" cm="1">
        <f t="array" ref="H14">GompEtafromGini(G14)</f>
        <v>1.3072498525853485E-10</v>
      </c>
      <c r="I14" cm="1">
        <f t="array" ref="I14">GompLSkew(H14,0)</f>
        <v>-0.16992499822779697</v>
      </c>
      <c r="J14" cm="1">
        <f t="array" ref="J14">GompLKurt(H14,0)</f>
        <v>0.15037498961659698</v>
      </c>
      <c r="L14">
        <f t="shared" si="3"/>
        <v>6.25E-2</v>
      </c>
      <c r="M14">
        <f t="shared" si="4"/>
        <v>3.0590241407808408E-7</v>
      </c>
      <c r="N14" cm="1">
        <f t="array" ref="N14">LocationList8(N$8,$M14,1)</f>
        <v>14.999999694097633</v>
      </c>
      <c r="O14" cm="1">
        <f t="array" ref="O14">LocationList8(O$8,$M14,1)</f>
        <v>14.633487214839766</v>
      </c>
      <c r="P14" cm="1">
        <f t="array" ref="P14">LocationList8(P$8,$M14,1)</f>
        <v>14.574449676983079</v>
      </c>
      <c r="Q14" cm="1">
        <f t="array" ref="Q14">LocationList8(Q$8,$M14,1)</f>
        <v>14.540567809045086</v>
      </c>
      <c r="R14" cm="1">
        <f t="array" ref="R14">LocationList8(R$8,$M14,1)</f>
        <v>14.540367804231328</v>
      </c>
      <c r="S14" cm="1">
        <f t="array" ref="S14">LocationList8(S$8,$M14,1)</f>
        <v>14.504901059026762</v>
      </c>
      <c r="T14" cm="1">
        <f t="array" ref="T14">LocationList8(T$8,$M14,1)</f>
        <v>14.422788747063711</v>
      </c>
      <c r="U14" cm="1">
        <f t="array" ref="U14">LocationList8(U$8,$M14,1)</f>
        <v>13.956378879023248</v>
      </c>
      <c r="V14">
        <v>1.0400207586172567</v>
      </c>
      <c r="W14">
        <v>1.0146087189843191</v>
      </c>
      <c r="X14">
        <v>1.0105153679069343</v>
      </c>
      <c r="Y14">
        <v>1.0081661781259434</v>
      </c>
      <c r="Z14">
        <v>1.0081523108484518</v>
      </c>
      <c r="AA14">
        <v>1.0056932340480802</v>
      </c>
      <c r="AB14">
        <v>1</v>
      </c>
      <c r="AC14">
        <v>0.96766160302143933</v>
      </c>
      <c r="AE14" cm="1">
        <f t="array" ref="AE14">criticaleta(AF14,AG14)</f>
        <v>0.29944241581916908</v>
      </c>
      <c r="AF14">
        <v>1</v>
      </c>
      <c r="AG14">
        <v>6</v>
      </c>
      <c r="AI14">
        <f t="shared" si="5"/>
        <v>5</v>
      </c>
      <c r="AJ14">
        <f t="shared" si="0"/>
        <v>0.15542698151404011</v>
      </c>
      <c r="AK14" t="str" cm="1">
        <f t="array" ref="AK14">INDEX($N$9:$U$9,1,VLOOKUP(AJ14,CriticalPointList,2,FALSE))</f>
        <v>mean</v>
      </c>
      <c r="AL14" t="str" cm="1">
        <f t="array" ref="AL14">INDEX($N$9:$U$9,1,VLOOKUP(AJ14,CriticalPointList,3,FALSE))</f>
        <v>mackle</v>
      </c>
      <c r="AM14" cm="1">
        <f t="array" ref="AM14">GompGini(AJ14,0)</f>
        <v>0.28353282525781454</v>
      </c>
      <c r="AN14" cm="1">
        <f t="array" ref="AN14">GompCov(AJ14,0)</f>
        <v>0.49459363209163992</v>
      </c>
    </row>
    <row r="15" spans="1:40" x14ac:dyDescent="0.3">
      <c r="A15">
        <f t="shared" si="1"/>
        <v>7.8125E-2</v>
      </c>
      <c r="B15" cm="1">
        <f t="array" ref="B15">GompEtafromCoV(A15)</f>
        <v>4.1657273737619827E-8</v>
      </c>
      <c r="C15" cm="1">
        <f t="array" ref="C15">GompCov(B15,0)</f>
        <v>7.8124999999994671E-2</v>
      </c>
      <c r="D15" cm="1">
        <f t="array" ref="D15">GompMSkew(B15,0)</f>
        <v>-1.1394565572745199</v>
      </c>
      <c r="E15" cm="1">
        <f t="array" ref="E15">GompMKurt(B15,0)</f>
        <v>2.3986386741421275</v>
      </c>
      <c r="G15">
        <f t="shared" si="2"/>
        <v>3.90625E-2</v>
      </c>
      <c r="H15" cm="1">
        <f t="array" ref="H15">GompEtafromGini(G15)</f>
        <v>1.1039585140853732E-8</v>
      </c>
      <c r="I15" cm="1">
        <f t="array" ref="I15">GompLSkew(H15,0)</f>
        <v>-0.16992478862627627</v>
      </c>
      <c r="J15" cm="1">
        <f t="array" ref="J15">GompLKurt(H15,0)</f>
        <v>0.15037478495966478</v>
      </c>
      <c r="L15">
        <f t="shared" si="3"/>
        <v>7.8125E-2</v>
      </c>
      <c r="M15">
        <f t="shared" si="4"/>
        <v>7.5046142338890072E-6</v>
      </c>
      <c r="N15" cm="1">
        <f t="array" ref="N15">LocationList8(N$8,$M15,1)</f>
        <v>11.799992495413926</v>
      </c>
      <c r="O15" cm="1">
        <f t="array" ref="O15">LocationList8(O$8,$M15,1)</f>
        <v>11.433490401643391</v>
      </c>
      <c r="P15" cm="1">
        <f t="array" ref="P15">LocationList8(P$8,$M15,1)</f>
        <v>11.374456415912761</v>
      </c>
      <c r="Q15" cm="1">
        <f t="array" ref="Q15">LocationList8(Q$8,$M15,1)</f>
        <v>11.340578121497103</v>
      </c>
      <c r="R15" cm="1">
        <f t="array" ref="R15">LocationList8(R$8,$M15,1)</f>
        <v>11.340375713332222</v>
      </c>
      <c r="S15" cm="1">
        <f t="array" ref="S15">LocationList8(S$8,$M15,1)</f>
        <v>11.304911822313933</v>
      </c>
      <c r="T15" cm="1">
        <f t="array" ref="T15">LocationList8(T$8,$M15,1)</f>
        <v>11.222868558095641</v>
      </c>
      <c r="U15" cm="1">
        <f t="array" ref="U15">LocationList8(U$8,$M15,1)</f>
        <v>10.758420614237464</v>
      </c>
      <c r="V15">
        <v>1.0514239237794492</v>
      </c>
      <c r="W15">
        <v>1.0187672022048069</v>
      </c>
      <c r="X15">
        <v>1.0135070509854427</v>
      </c>
      <c r="Y15">
        <v>1.0104883669261682</v>
      </c>
      <c r="Z15">
        <v>1.0104703315937722</v>
      </c>
      <c r="AA15">
        <v>1.0073103648851978</v>
      </c>
      <c r="AB15">
        <v>1</v>
      </c>
      <c r="AC15">
        <v>0.95861593304296999</v>
      </c>
      <c r="AE15" cm="1">
        <f t="array" ref="AE15">criticaleta(AF15,AG15)</f>
        <v>0.2850142622496491</v>
      </c>
      <c r="AF15">
        <v>1</v>
      </c>
      <c r="AG15">
        <v>7</v>
      </c>
      <c r="AI15">
        <f t="shared" si="5"/>
        <v>6</v>
      </c>
      <c r="AJ15">
        <f t="shared" si="0"/>
        <v>0.1594875228573415</v>
      </c>
      <c r="AK15" t="str" cm="1">
        <f t="array" ref="AK15">INDEX($N$9:$U$9,1,VLOOKUP(AJ15,CriticalPointList,2,FALSE))</f>
        <v>esm2</v>
      </c>
      <c r="AL15" t="str" cm="1">
        <f t="array" ref="AL15">INDEX($N$9:$U$9,1,VLOOKUP(AJ15,CriticalPointList,3,FALSE))</f>
        <v>mackle</v>
      </c>
      <c r="AM15" cm="1">
        <f t="array" ref="AM15">GompGini(AJ15,0)</f>
        <v>0.28502851069035101</v>
      </c>
      <c r="AN15" cm="1">
        <f t="array" ref="AN15">GompCov(AJ15,0)</f>
        <v>0.49717099210573035</v>
      </c>
    </row>
    <row r="16" spans="1:40" x14ac:dyDescent="0.3">
      <c r="A16">
        <f t="shared" si="1"/>
        <v>9.375E-2</v>
      </c>
      <c r="B16" cm="1">
        <f t="array" ref="B16">GompEtafromCoV(A16)</f>
        <v>6.429728940880646E-7</v>
      </c>
      <c r="C16" cm="1">
        <f t="array" ref="C16">GompCov(B16,0)</f>
        <v>9.3749999999999903E-2</v>
      </c>
      <c r="D16" cm="1">
        <f t="array" ref="D16">GompMSkew(B16,0)</f>
        <v>-1.1387351780014248</v>
      </c>
      <c r="E16" cm="1">
        <f t="array" ref="E16">GompMKurt(B16,0)</f>
        <v>2.3895693715051078</v>
      </c>
      <c r="G16">
        <f t="shared" si="2"/>
        <v>4.6875E-2</v>
      </c>
      <c r="H16" cm="1">
        <f t="array" ref="H16">GompEtafromGini(G16)</f>
        <v>2.1250785681642146E-7</v>
      </c>
      <c r="I16" cm="1">
        <f t="array" ref="I16">GompLSkew(H16,0)</f>
        <v>-0.16992165744235935</v>
      </c>
      <c r="J16" cm="1">
        <f t="array" ref="J16">GompLKurt(H16,0)</f>
        <v>0.15037176251642856</v>
      </c>
      <c r="L16">
        <f t="shared" si="3"/>
        <v>9.375E-2</v>
      </c>
      <c r="M16">
        <f t="shared" si="4"/>
        <v>6.3364720908016604E-5</v>
      </c>
      <c r="N16" cm="1">
        <f t="array" ref="N16">LocationList8(N$8,$M16,1)</f>
        <v>9.6666033039532167</v>
      </c>
      <c r="O16" cm="1">
        <f t="array" ref="O16">LocationList8(O$8,$M16,1)</f>
        <v>9.3001817951619898</v>
      </c>
      <c r="P16" cm="1">
        <f t="array" ref="P16">LocationList8(P$8,$M16,1)</f>
        <v>9.2411753633287219</v>
      </c>
      <c r="Q16" cm="1">
        <f t="array" ref="Q16">LocationList8(Q$8,$M16,1)</f>
        <v>9.2073247232454403</v>
      </c>
      <c r="R16" cm="1">
        <f t="array" ref="R16">LocationList8(R$8,$M16,1)</f>
        <v>9.2071037432017562</v>
      </c>
      <c r="S16" cm="1">
        <f t="array" ref="S16">LocationList8(S$8,$M16,1)</f>
        <v>9.1716619919524689</v>
      </c>
      <c r="T16" cm="1">
        <f t="array" ref="T16">LocationList8(T$8,$M16,1)</f>
        <v>9.0900269715426898</v>
      </c>
      <c r="U16" cm="1">
        <f t="array" ref="U16">LocationList8(U$8,$M16,1)</f>
        <v>8.6333117046953589</v>
      </c>
      <c r="V16">
        <v>1.0634295513330776</v>
      </c>
      <c r="W16">
        <v>1.0231192739336432</v>
      </c>
      <c r="X16">
        <v>1.0166279365571982</v>
      </c>
      <c r="Y16">
        <v>1.012904004803282</v>
      </c>
      <c r="Z16">
        <v>1.0128796946395855</v>
      </c>
      <c r="AA16">
        <v>1.0089807236728061</v>
      </c>
      <c r="AB16">
        <v>1</v>
      </c>
      <c r="AC16">
        <v>0.949756445357409</v>
      </c>
      <c r="AE16" cm="1">
        <f t="array" ref="AE16">criticaleta(AF16,AG16)</f>
        <v>0.25273111374827983</v>
      </c>
      <c r="AF16">
        <v>1</v>
      </c>
      <c r="AG16">
        <v>8</v>
      </c>
      <c r="AI16">
        <f t="shared" si="5"/>
        <v>7</v>
      </c>
      <c r="AJ16">
        <f t="shared" si="0"/>
        <v>0.16415691676151026</v>
      </c>
      <c r="AK16" t="str" cm="1">
        <f t="array" ref="AK16">INDEX($N$9:$U$9,1,VLOOKUP(AJ16,CriticalPointList,2,FALSE))</f>
        <v>esm3</v>
      </c>
      <c r="AL16" t="str" cm="1">
        <f t="array" ref="AL16">INDEX($N$9:$U$9,1,VLOOKUP(AJ16,CriticalPointList,3,FALSE))</f>
        <v>mackle</v>
      </c>
      <c r="AM16" cm="1">
        <f t="array" ref="AM16">GompGini(AJ16,0)</f>
        <v>0.28670744077627675</v>
      </c>
      <c r="AN16" cm="1">
        <f t="array" ref="AN16">GompCov(AJ16,0)</f>
        <v>0.50006923589394237</v>
      </c>
    </row>
    <row r="17" spans="1:40" x14ac:dyDescent="0.3">
      <c r="A17">
        <f t="shared" si="1"/>
        <v>0.109375</v>
      </c>
      <c r="B17" cm="1">
        <f t="array" ref="B17">GompEtafromCoV(A17)</f>
        <v>4.5484991355474049E-6</v>
      </c>
      <c r="C17" cm="1">
        <f t="array" ref="C17">GompCov(B17,0)</f>
        <v>0.1093749999999911</v>
      </c>
      <c r="D17" cm="1">
        <f t="array" ref="D17">GompMSkew(B17,0)</f>
        <v>-1.1359197494150681</v>
      </c>
      <c r="E17" cm="1">
        <f t="array" ref="E17">GompMKurt(B17,0)</f>
        <v>2.3591328915710639</v>
      </c>
      <c r="G17">
        <f t="shared" si="2"/>
        <v>5.46875E-2</v>
      </c>
      <c r="H17" cm="1">
        <f t="array" ref="H17">GompEtafromGini(G17)</f>
        <v>1.7577289036840518E-6</v>
      </c>
      <c r="I17" cm="1">
        <f t="array" ref="I17">GompLSkew(H17,0)</f>
        <v>-0.16990178861634567</v>
      </c>
      <c r="J17" cm="1">
        <f t="array" ref="J17">GompLKurt(H17,0)</f>
        <v>0.15035282528876701</v>
      </c>
      <c r="L17">
        <f t="shared" si="3"/>
        <v>0.109375</v>
      </c>
      <c r="M17">
        <f t="shared" si="4"/>
        <v>2.9088973054913471E-4</v>
      </c>
      <c r="N17" cm="1">
        <f t="array" ref="N17">LocationList8(N$8,$M17,1)</f>
        <v>8.1425662954268088</v>
      </c>
      <c r="O17" cm="1">
        <f t="array" ref="O17">LocationList8(O$8,$M17,1)</f>
        <v>7.7764729519820532</v>
      </c>
      <c r="P17" cm="1">
        <f t="array" ref="P17">LocationList8(P$8,$M17,1)</f>
        <v>7.7175785747305312</v>
      </c>
      <c r="Q17" cm="1">
        <f t="array" ref="Q17">LocationList8(Q$8,$M17,1)</f>
        <v>7.6838395225105511</v>
      </c>
      <c r="R17" cm="1">
        <f t="array" ref="R17">LocationList8(R$8,$M17,1)</f>
        <v>7.6835439884206505</v>
      </c>
      <c r="S17" cm="1">
        <f t="array" ref="S17">LocationList8(S$8,$M17,1)</f>
        <v>7.6481922695771791</v>
      </c>
      <c r="T17" cm="1">
        <f t="array" ref="T17">LocationList8(T$8,$M17,1)</f>
        <v>7.5678425866414498</v>
      </c>
      <c r="U17" cm="1">
        <f t="array" ref="U17">LocationList8(U$8,$M17,1)</f>
        <v>7.1282999764623929</v>
      </c>
      <c r="V17">
        <v>1.0759428730454628</v>
      </c>
      <c r="W17">
        <v>1.0275680106915639</v>
      </c>
      <c r="X17">
        <v>1.0197858222306833</v>
      </c>
      <c r="Y17">
        <v>1.0153276094925463</v>
      </c>
      <c r="Z17">
        <v>1.0152885581927185</v>
      </c>
      <c r="AA17">
        <v>1.0106172508235782</v>
      </c>
      <c r="AB17">
        <v>1</v>
      </c>
      <c r="AC17">
        <v>0.94191969439812007</v>
      </c>
      <c r="AE17" cm="1">
        <f t="array" ref="AE17">criticaleta(AF17,AG17)</f>
        <v>0.26747371869545311</v>
      </c>
      <c r="AF17">
        <v>2</v>
      </c>
      <c r="AG17">
        <v>3</v>
      </c>
      <c r="AI17">
        <f t="shared" si="5"/>
        <v>8</v>
      </c>
      <c r="AJ17">
        <f t="shared" si="0"/>
        <v>0.17034011264219082</v>
      </c>
      <c r="AK17" t="str" cm="1">
        <f t="array" ref="AK17">INDEX($N$9:$U$9,1,VLOOKUP(AJ17,CriticalPointList,2,FALSE))</f>
        <v>esm2</v>
      </c>
      <c r="AL17" t="str" cm="1">
        <f t="array" ref="AL17">INDEX($N$9:$U$9,1,VLOOKUP(AJ17,CriticalPointList,3,FALSE))</f>
        <v>mean</v>
      </c>
      <c r="AM17" cm="1">
        <f t="array" ref="AM17">GompGini(AJ17,0)</f>
        <v>0.28886664810219509</v>
      </c>
      <c r="AN17" cm="1">
        <f t="array" ref="AN17">GompCov(AJ17,0)</f>
        <v>0.50380472077863325</v>
      </c>
    </row>
    <row r="18" spans="1:40" x14ac:dyDescent="0.3">
      <c r="A18">
        <f t="shared" si="1"/>
        <v>0.125</v>
      </c>
      <c r="B18" cm="1">
        <f t="array" ref="B18">GompEtafromCoV(A18)</f>
        <v>1.9804377432691294E-5</v>
      </c>
      <c r="C18" cm="1">
        <f t="array" ref="C18">GompCov(B18,0)</f>
        <v>0.12499999999999663</v>
      </c>
      <c r="D18" cm="1">
        <f t="array" ref="D18">GompMSkew(B18,0)</f>
        <v>-1.1289473917804762</v>
      </c>
      <c r="E18" cm="1">
        <f t="array" ref="E18">GompMKurt(B18,0)</f>
        <v>2.2933081733225942</v>
      </c>
      <c r="G18">
        <f t="shared" si="2"/>
        <v>6.25E-2</v>
      </c>
      <c r="H18" cm="1">
        <f t="array" ref="H18">GompEtafromGini(G18)</f>
        <v>8.5806795241008872E-6</v>
      </c>
      <c r="I18" cm="1">
        <f t="array" ref="I18">GompLSkew(H18,0)</f>
        <v>-0.16982796363377864</v>
      </c>
      <c r="J18" cm="1">
        <f t="array" ref="J18">GompLKurt(H18,0)</f>
        <v>0.15028343982704873</v>
      </c>
      <c r="L18">
        <f t="shared" si="3"/>
        <v>0.125</v>
      </c>
      <c r="M18">
        <f t="shared" si="4"/>
        <v>9.1271425322173375E-4</v>
      </c>
      <c r="N18" cm="1">
        <f t="array" ref="N18">LocationList8(N$8,$M18,1)</f>
        <v>6.9990877020171611</v>
      </c>
      <c r="O18" cm="1">
        <f t="array" ref="O18">LocationList8(O$8,$M18,1)</f>
        <v>6.6338906835832425</v>
      </c>
      <c r="P18" cm="1">
        <f t="array" ref="P18">LocationList8(P$8,$M18,1)</f>
        <v>6.5753011331545608</v>
      </c>
      <c r="Q18" cm="1">
        <f t="array" ref="Q18">LocationList8(Q$8,$M18,1)</f>
        <v>6.5418604638096234</v>
      </c>
      <c r="R18" cm="1">
        <f t="array" ref="R18">LocationList8(R$8,$M18,1)</f>
        <v>6.5413680673227574</v>
      </c>
      <c r="S18" cm="1">
        <f t="array" ref="S18">LocationList8(S$8,$M18,1)</f>
        <v>6.5062612196745206</v>
      </c>
      <c r="T18" cm="1">
        <f t="array" ref="T18">LocationList8(T$8,$M18,1)</f>
        <v>6.4286493862029443</v>
      </c>
      <c r="U18" cm="1">
        <f t="array" ref="U18">LocationList8(U$8,$M18,1)</f>
        <v>6.016335670730232</v>
      </c>
      <c r="V18">
        <v>1.0887337730750228</v>
      </c>
      <c r="W18">
        <v>1.0319260368781014</v>
      </c>
      <c r="X18">
        <v>1.0228122173323619</v>
      </c>
      <c r="Y18">
        <v>1.0176103985153788</v>
      </c>
      <c r="Z18">
        <v>1.0175338044351474</v>
      </c>
      <c r="AA18">
        <v>1.0120728054695509</v>
      </c>
      <c r="AB18">
        <v>1</v>
      </c>
      <c r="AC18">
        <v>0.9358630886982866</v>
      </c>
      <c r="AE18" cm="1">
        <f t="array" ref="AE18">criticaleta(AF18,AG18)</f>
        <v>0.25021120451609702</v>
      </c>
      <c r="AF18">
        <v>2</v>
      </c>
      <c r="AG18">
        <v>4</v>
      </c>
      <c r="AI18">
        <f t="shared" si="5"/>
        <v>9</v>
      </c>
      <c r="AJ18">
        <f t="shared" si="0"/>
        <v>0.17733301415872804</v>
      </c>
      <c r="AK18" t="str" cm="1">
        <f t="array" ref="AK18">INDEX($N$9:$U$9,1,VLOOKUP(AJ18,CriticalPointList,2,FALSE))</f>
        <v>median</v>
      </c>
      <c r="AL18" t="str" cm="1">
        <f t="array" ref="AL18">INDEX($N$9:$U$9,1,VLOOKUP(AJ18,CriticalPointList,3,FALSE))</f>
        <v>mackle</v>
      </c>
      <c r="AM18" cm="1">
        <f t="array" ref="AM18">GompGini(AJ18,0)</f>
        <v>0.29122596539796142</v>
      </c>
      <c r="AN18" cm="1">
        <f t="array" ref="AN18">GompCov(AJ18,0)</f>
        <v>0.50789721935977783</v>
      </c>
    </row>
    <row r="19" spans="1:40" x14ac:dyDescent="0.3">
      <c r="A19">
        <f t="shared" si="1"/>
        <v>0.140625</v>
      </c>
      <c r="B19" cm="1">
        <f t="array" ref="B19">GompEtafromCoV(A19)</f>
        <v>6.2563348980351362E-5</v>
      </c>
      <c r="C19" cm="1">
        <f t="array" ref="C19">GompCov(B19,0)</f>
        <v>0.14062499999999056</v>
      </c>
      <c r="D19" cm="1">
        <f t="array" ref="D19">GompMSkew(B19,0)</f>
        <v>-1.1160101565202254</v>
      </c>
      <c r="E19" cm="1">
        <f t="array" ref="E19">GompMKurt(B19,0)</f>
        <v>2.1853966244817302</v>
      </c>
      <c r="G19">
        <f t="shared" si="2"/>
        <v>7.03125E-2</v>
      </c>
      <c r="H19" cm="1">
        <f t="array" ref="H19">GompEtafromGini(G19)</f>
        <v>2.9503079179933869E-5</v>
      </c>
      <c r="I19" cm="1">
        <f t="array" ref="I19">GompLSkew(H19,0)</f>
        <v>-0.16963488918573991</v>
      </c>
      <c r="J19" cm="1">
        <f t="array" ref="J19">GompLKurt(H19,0)</f>
        <v>0.15010475075171381</v>
      </c>
      <c r="L19">
        <f t="shared" si="3"/>
        <v>0.140625</v>
      </c>
      <c r="M19">
        <f t="shared" si="4"/>
        <v>2.223015741979608E-3</v>
      </c>
      <c r="N19" cm="1">
        <f t="array" ref="N19">LocationList8(N$8,$M19,1)</f>
        <v>6.1088905626128209</v>
      </c>
      <c r="O19" cm="1">
        <f t="array" ref="O19">LocationList8(O$8,$M19,1)</f>
        <v>5.7455796439338638</v>
      </c>
      <c r="P19" cm="1">
        <f t="array" ref="P19">LocationList8(P$8,$M19,1)</f>
        <v>5.6876258244600315</v>
      </c>
      <c r="Q19" cm="1">
        <f t="array" ref="Q19">LocationList8(Q$8,$M19,1)</f>
        <v>5.654789800506876</v>
      </c>
      <c r="R19" cm="1">
        <f t="array" ref="R19">LocationList8(R$8,$M19,1)</f>
        <v>5.6539079880480916</v>
      </c>
      <c r="S19" cm="1">
        <f t="array" ref="S19">LocationList8(S$8,$M19,1)</f>
        <v>5.6193115035048331</v>
      </c>
      <c r="T19" cm="1">
        <f t="array" ref="T19">LocationList8(T$8,$M19,1)</f>
        <v>5.5462123018850544</v>
      </c>
      <c r="U19" cm="1">
        <f t="array" ref="U19">LocationList8(U$8,$M19,1)</f>
        <v>5.1690679976307266</v>
      </c>
      <c r="V19">
        <v>1.1014527086416297</v>
      </c>
      <c r="W19">
        <v>1.0359465760048616</v>
      </c>
      <c r="X19">
        <v>1.0254973150823876</v>
      </c>
      <c r="Y19">
        <v>1.0195768738576629</v>
      </c>
      <c r="Z19">
        <v>1.0194178802218647</v>
      </c>
      <c r="AA19">
        <v>1.0131800222640113</v>
      </c>
      <c r="AB19">
        <v>1</v>
      </c>
      <c r="AC19">
        <v>0.93199966324294081</v>
      </c>
      <c r="AE19" cm="1">
        <f t="array" ref="AE19">criticaleta(AF19,AG19)</f>
        <v>0.28378890066809392</v>
      </c>
      <c r="AF19">
        <v>2</v>
      </c>
      <c r="AG19">
        <v>5</v>
      </c>
      <c r="AI19">
        <f t="shared" si="5"/>
        <v>10</v>
      </c>
      <c r="AJ19">
        <f t="shared" si="0"/>
        <v>0.18189720348503893</v>
      </c>
      <c r="AK19" t="str" cm="1">
        <f t="array" ref="AK19">INDEX($N$9:$U$9,1,VLOOKUP(AJ19,CriticalPointList,2,FALSE))</f>
        <v>esm3</v>
      </c>
      <c r="AL19" t="str" cm="1">
        <f t="array" ref="AL19">INDEX($N$9:$U$9,1,VLOOKUP(AJ19,CriticalPointList,3,FALSE))</f>
        <v>mean</v>
      </c>
      <c r="AM19" cm="1">
        <f t="array" ref="AM19">GompGini(AJ19,0)</f>
        <v>0.29272129738451025</v>
      </c>
      <c r="AN19" cm="1">
        <f t="array" ref="AN19">GompCov(AJ19,0)</f>
        <v>0.51049705516364452</v>
      </c>
    </row>
    <row r="20" spans="1:40" x14ac:dyDescent="0.3">
      <c r="A20">
        <f t="shared" si="1"/>
        <v>0.15625</v>
      </c>
      <c r="B20" cm="1">
        <f t="array" ref="B20">GompEtafromCoV(A20)</f>
        <v>1.5829934063943881E-4</v>
      </c>
      <c r="C20" cm="1">
        <f t="array" ref="C20">GompCov(B20,0)</f>
        <v>0.15625000000000416</v>
      </c>
      <c r="D20" cm="1">
        <f t="array" ref="D20">GompMSkew(B20,0)</f>
        <v>-1.096137402708298</v>
      </c>
      <c r="E20" cm="1">
        <f t="array" ref="E20">GompMKurt(B20,0)</f>
        <v>2.037652785417587</v>
      </c>
      <c r="G20">
        <f t="shared" si="2"/>
        <v>7.8125E-2</v>
      </c>
      <c r="H20" cm="1">
        <f t="array" ref="H20">GompEtafromGini(G20)</f>
        <v>7.9473119565499228E-5</v>
      </c>
      <c r="I20" cm="1">
        <f t="array" ref="I20">GompLSkew(H20,0)</f>
        <v>-0.16923732444471479</v>
      </c>
      <c r="J20" cm="1">
        <f t="array" ref="J20">GompLKurt(H20,0)</f>
        <v>0.14974297404375458</v>
      </c>
      <c r="L20">
        <f t="shared" si="3"/>
        <v>0.15625</v>
      </c>
      <c r="M20">
        <f t="shared" si="4"/>
        <v>4.5370730000599798E-3</v>
      </c>
      <c r="N20" cm="1">
        <f t="array" ref="N20">LocationList8(N$8,$M20,1)</f>
        <v>5.3954731884892668</v>
      </c>
      <c r="O20" cm="1">
        <f t="array" ref="O20">LocationList8(O$8,$M20,1)</f>
        <v>5.0354845511278423</v>
      </c>
      <c r="P20" cm="1">
        <f t="array" ref="P20">LocationList8(P$8,$M20,1)</f>
        <v>4.9786326212650884</v>
      </c>
      <c r="Q20" cm="1">
        <f t="array" ref="Q20">LocationList8(Q$8,$M20,1)</f>
        <v>4.9468035943768616</v>
      </c>
      <c r="R20" cm="1">
        <f t="array" ref="R20">LocationList8(R$8,$M20,1)</f>
        <v>4.9452984196337191</v>
      </c>
      <c r="S20" cm="1">
        <f t="array" ref="S20">LocationList8(S$8,$M20,1)</f>
        <v>4.9115850195057442</v>
      </c>
      <c r="T20" cm="1">
        <f t="array" ref="T20">LocationList8(T$8,$M20,1)</f>
        <v>4.8447205171305825</v>
      </c>
      <c r="U20" cm="1">
        <f t="array" ref="U20">LocationList8(U$8,$M20,1)</f>
        <v>4.507516034368992</v>
      </c>
      <c r="V20">
        <v>1.1136809996389394</v>
      </c>
      <c r="W20">
        <v>1.039375653006759</v>
      </c>
      <c r="X20">
        <v>1.0276408316353858</v>
      </c>
      <c r="Y20">
        <v>1.0210709940615399</v>
      </c>
      <c r="Z20">
        <v>1.0207603105581633</v>
      </c>
      <c r="AA20">
        <v>1.013801519022353</v>
      </c>
      <c r="AB20">
        <v>1</v>
      </c>
      <c r="AC20">
        <v>0.93039753654121848</v>
      </c>
      <c r="AE20" cm="1">
        <f t="array" ref="AE20">criticaleta(AF20,AG20)</f>
        <v>0.26161981424646685</v>
      </c>
      <c r="AF20">
        <v>2</v>
      </c>
      <c r="AG20">
        <v>6</v>
      </c>
      <c r="AI20">
        <f t="shared" si="5"/>
        <v>11</v>
      </c>
      <c r="AJ20">
        <f t="shared" si="0"/>
        <v>0.20206314437240283</v>
      </c>
      <c r="AK20" t="str" cm="1">
        <f t="array" ref="AK20">INDEX($N$9:$U$9,1,VLOOKUP(AJ20,CriticalPointList,2,FALSE))</f>
        <v>mh2</v>
      </c>
      <c r="AL20" t="str" cm="1">
        <f t="array" ref="AL20">INDEX($N$9:$U$9,1,VLOOKUP(AJ20,CriticalPointList,3,FALSE))</f>
        <v>mh3</v>
      </c>
      <c r="AM20" cm="1">
        <f t="array" ref="AM20">GompGini(AJ20,0)</f>
        <v>0.29894704235329095</v>
      </c>
      <c r="AN20" cm="1">
        <f t="array" ref="AN20">GompCov(AJ20,0)</f>
        <v>0.52137389034223669</v>
      </c>
    </row>
    <row r="21" spans="1:40" x14ac:dyDescent="0.3">
      <c r="A21">
        <f t="shared" si="1"/>
        <v>0.171875</v>
      </c>
      <c r="B21" cm="1">
        <f t="array" ref="B21">GompEtafromCoV(A21)</f>
        <v>3.4155639098850803E-4</v>
      </c>
      <c r="C21" cm="1">
        <f t="array" ref="C21">GompCov(B21,0)</f>
        <v>0.17187499999999536</v>
      </c>
      <c r="D21" cm="1">
        <f t="array" ref="D21">GompMSkew(B21,0)</f>
        <v>-1.0692452425370749</v>
      </c>
      <c r="E21" cm="1">
        <f t="array" ref="E21">GompMKurt(B21,0)</f>
        <v>1.8582747634122847</v>
      </c>
      <c r="G21">
        <f t="shared" si="2"/>
        <v>8.59375E-2</v>
      </c>
      <c r="H21" cm="1">
        <f t="array" ref="H21">GompEtafromGini(G21)</f>
        <v>1.7950722734891137E-4</v>
      </c>
      <c r="I21" cm="1">
        <f t="array" ref="I21">GompLSkew(H21,0)</f>
        <v>-0.16854505405111422</v>
      </c>
      <c r="J21" cm="1">
        <f t="array" ref="J21">GompLKurt(H21,0)</f>
        <v>0.14912454620945212</v>
      </c>
      <c r="L21">
        <f t="shared" si="3"/>
        <v>0.171875</v>
      </c>
      <c r="M21">
        <f t="shared" si="4"/>
        <v>8.14730958294284E-3</v>
      </c>
      <c r="N21" cm="1">
        <f t="array" ref="N21">LocationList8(N$8,$M21,1)</f>
        <v>4.8100675187508495</v>
      </c>
      <c r="O21" cm="1">
        <f t="array" ref="O21">LocationList8(O$8,$M21,1)</f>
        <v>4.4552401386471594</v>
      </c>
      <c r="P21" cm="1">
        <f t="array" ref="P21">LocationList8(P$8,$M21,1)</f>
        <v>4.4000575631534389</v>
      </c>
      <c r="Q21" cm="1">
        <f t="array" ref="Q21">LocationList8(Q$8,$M21,1)</f>
        <v>4.3696815680549213</v>
      </c>
      <c r="R21" cm="1">
        <f t="array" ref="R21">LocationList8(R$8,$M21,1)</f>
        <v>4.3673283668558334</v>
      </c>
      <c r="S21" cm="1">
        <f t="array" ref="S21">LocationList8(S$8,$M21,1)</f>
        <v>4.3349478404321022</v>
      </c>
      <c r="T21" cm="1">
        <f t="array" ref="T21">LocationList8(T$8,$M21,1)</f>
        <v>4.2756763353320633</v>
      </c>
      <c r="U21" cm="1">
        <f t="array" ref="U21">LocationList8(U$8,$M21,1)</f>
        <v>3.9802192643595062</v>
      </c>
      <c r="V21">
        <v>1.1249840122375128</v>
      </c>
      <c r="W21">
        <v>1.041996584687964</v>
      </c>
      <c r="X21">
        <v>1.0290904217406616</v>
      </c>
      <c r="Y21">
        <v>1.021986049773236</v>
      </c>
      <c r="Z21">
        <v>1.0214356804247327</v>
      </c>
      <c r="AA21">
        <v>1.0138624864118568</v>
      </c>
      <c r="AB21">
        <v>1</v>
      </c>
      <c r="AC21">
        <v>0.9308981672604526</v>
      </c>
      <c r="AE21" cm="1">
        <f t="array" ref="AE21">criticaleta(AF21,AG21)</f>
        <v>0.2084668954345148</v>
      </c>
      <c r="AF21">
        <v>2</v>
      </c>
      <c r="AG21">
        <v>7</v>
      </c>
      <c r="AI21">
        <f t="shared" si="5"/>
        <v>12</v>
      </c>
      <c r="AJ21">
        <f t="shared" si="0"/>
        <v>0.2084668954345148</v>
      </c>
      <c r="AK21" t="str" cm="1">
        <f t="array" ref="AK21">INDEX($N$9:$U$9,1,VLOOKUP(AJ21,CriticalPointList,2,FALSE))</f>
        <v>median</v>
      </c>
      <c r="AL21" t="str" cm="1">
        <f t="array" ref="AL21">INDEX($N$9:$U$9,1,VLOOKUP(AJ21,CriticalPointList,3,FALSE))</f>
        <v>mean</v>
      </c>
      <c r="AM21" cm="1">
        <f t="array" ref="AM21">GompGini(AJ21,0)</f>
        <v>0.30080579826115977</v>
      </c>
      <c r="AN21" cm="1">
        <f t="array" ref="AN21">GompCov(AJ21,0)</f>
        <v>0.52463841417933554</v>
      </c>
    </row>
    <row r="22" spans="1:40" x14ac:dyDescent="0.3">
      <c r="A22">
        <f t="shared" si="1"/>
        <v>0.1875</v>
      </c>
      <c r="B22" cm="1">
        <f t="array" ref="B22">GompEtafromCoV(A22)</f>
        <v>6.5502859327780621E-4</v>
      </c>
      <c r="C22" cm="1">
        <f t="array" ref="C22">GompCov(B22,0)</f>
        <v>0.18750000000000855</v>
      </c>
      <c r="D22" cm="1">
        <f t="array" ref="D22">GompMSkew(B22,0)</f>
        <v>-1.0358833159777439</v>
      </c>
      <c r="E22" cm="1">
        <f t="array" ref="E22">GompMKurt(B22,0)</f>
        <v>1.657627289692303</v>
      </c>
      <c r="G22">
        <f t="shared" si="2"/>
        <v>9.375E-2</v>
      </c>
      <c r="H22" cm="1">
        <f t="array" ref="H22">GompEtafromGini(G22)</f>
        <v>3.5573803199986644E-4</v>
      </c>
      <c r="I22" cm="1">
        <f t="array" ref="I22">GompLSkew(H22,0)</f>
        <v>-0.16747642906937471</v>
      </c>
      <c r="J22" cm="1">
        <f t="array" ref="J22">GompLKurt(H22,0)</f>
        <v>0.14818889132362356</v>
      </c>
      <c r="L22">
        <f t="shared" si="3"/>
        <v>0.1875</v>
      </c>
      <c r="M22">
        <f t="shared" si="4"/>
        <v>1.3298251380737416E-2</v>
      </c>
      <c r="N22" cm="1">
        <f t="array" ref="N22">LocationList8(N$8,$M22,1)</f>
        <v>4.3201227275305669</v>
      </c>
      <c r="O22" cm="1">
        <f t="array" ref="O22">LocationList8(O$8,$M22,1)</f>
        <v>3.9726134105218911</v>
      </c>
      <c r="P22" cm="1">
        <f t="array" ref="P22">LocationList8(P$8,$M22,1)</f>
        <v>3.9197161981779161</v>
      </c>
      <c r="Q22" cm="1">
        <f t="array" ref="Q22">LocationList8(Q$8,$M22,1)</f>
        <v>3.8912239886712694</v>
      </c>
      <c r="R22" cm="1">
        <f t="array" ref="R22">LocationList8(R$8,$M22,1)</f>
        <v>3.8878581362840698</v>
      </c>
      <c r="S22" cm="1">
        <f t="array" ref="S22">LocationList8(S$8,$M22,1)</f>
        <v>3.8572897257704022</v>
      </c>
      <c r="T22" cm="1">
        <f t="array" ref="T22">LocationList8(T$8,$M22,1)</f>
        <v>3.8064452132430113</v>
      </c>
      <c r="U22" cm="1">
        <f t="array" ref="U22">LocationList8(U$8,$M22,1)</f>
        <v>3.5523059989320118</v>
      </c>
      <c r="V22">
        <v>1.1349494043682591</v>
      </c>
      <c r="W22">
        <v>1.0436544303069866</v>
      </c>
      <c r="X22">
        <v>1.0297576816660394</v>
      </c>
      <c r="Y22">
        <v>1.0222724276007715</v>
      </c>
      <c r="Z22">
        <v>1.0213881767581507</v>
      </c>
      <c r="AA22">
        <v>1.0133574791384092</v>
      </c>
      <c r="AB22">
        <v>1</v>
      </c>
      <c r="AC22">
        <v>0.93323450093887517</v>
      </c>
      <c r="AE22" cm="1">
        <f t="array" ref="AE22">criticaleta(AF22,AG22)</f>
        <v>0.17733301415872804</v>
      </c>
      <c r="AF22">
        <v>2</v>
      </c>
      <c r="AG22">
        <v>8</v>
      </c>
      <c r="AI22">
        <f t="shared" si="5"/>
        <v>13</v>
      </c>
      <c r="AJ22">
        <f t="shared" si="0"/>
        <v>0.21799265779080765</v>
      </c>
      <c r="AK22" t="str" cm="1">
        <f t="array" ref="AK22">INDEX($N$9:$U$9,1,VLOOKUP(AJ22,CriticalPointList,2,FALSE))</f>
        <v>esm3</v>
      </c>
      <c r="AL22" t="str" cm="1">
        <f t="array" ref="AL22">INDEX($N$9:$U$9,1,VLOOKUP(AJ22,CriticalPointList,3,FALSE))</f>
        <v>esm2</v>
      </c>
      <c r="AM22" cm="1">
        <f t="array" ref="AM22">GompGini(AJ22,0)</f>
        <v>0.30347587493685774</v>
      </c>
      <c r="AN22" cm="1">
        <f t="array" ref="AN22">GompCov(AJ22,0)</f>
        <v>0.5293423075372814</v>
      </c>
    </row>
    <row r="23" spans="1:40" x14ac:dyDescent="0.3">
      <c r="A23">
        <f t="shared" si="1"/>
        <v>0.203125</v>
      </c>
      <c r="B23" cm="1">
        <f t="array" ref="B23">GompEtafromCoV(A23)</f>
        <v>1.1486064537936664E-3</v>
      </c>
      <c r="C23" cm="1">
        <f t="array" ref="C23">GompCov(B23,0)</f>
        <v>0.20312500000001105</v>
      </c>
      <c r="D23" cm="1">
        <f t="array" ref="D23">GompMSkew(B23,0)</f>
        <v>-0.99693423761823274</v>
      </c>
      <c r="E23" cm="1">
        <f t="array" ref="E23">GompMKurt(B23,0)</f>
        <v>1.4456473068790905</v>
      </c>
      <c r="G23">
        <f t="shared" si="2"/>
        <v>0.1015625</v>
      </c>
      <c r="H23" cm="1">
        <f t="array" ref="H23">GompEtafromGini(G23)</f>
        <v>6.3819664865612052E-4</v>
      </c>
      <c r="I23" cm="1">
        <f t="array" ref="I23">GompLSkew(H23,0)</f>
        <v>-0.16596638908462838</v>
      </c>
      <c r="J23" cm="1">
        <f t="array" ref="J23">GompLKurt(H23,0)</f>
        <v>0.1468951933253404</v>
      </c>
      <c r="L23">
        <f t="shared" si="3"/>
        <v>0.203125</v>
      </c>
      <c r="M23">
        <f t="shared" si="4"/>
        <v>2.0179288174142891E-2</v>
      </c>
      <c r="N23" cm="1">
        <f t="array" ref="N23">LocationList8(N$8,$M23,1)</f>
        <v>3.9030985385072099</v>
      </c>
      <c r="O23" cm="1">
        <f t="array" ref="O23">LocationList8(O$8,$M23,1)</f>
        <v>3.565282455556587</v>
      </c>
      <c r="P23" cm="1">
        <f t="array" ref="P23">LocationList8(P$8,$M23,1)</f>
        <v>3.5152784845534804</v>
      </c>
      <c r="Q23" cm="1">
        <f t="array" ref="Q23">LocationList8(Q$8,$M23,1)</f>
        <v>3.4890384455567167</v>
      </c>
      <c r="R23" cm="1">
        <f t="array" ref="R23">LocationList8(R$8,$M23,1)</f>
        <v>3.4845884828265667</v>
      </c>
      <c r="S23" cm="1">
        <f t="array" ref="S23">LocationList8(S$8,$M23,1)</f>
        <v>3.4562885738383913</v>
      </c>
      <c r="T23" cm="1">
        <f t="array" ref="T23">LocationList8(T$8,$M23,1)</f>
        <v>3.4141657724757875</v>
      </c>
      <c r="U23" cm="1">
        <f t="array" ref="U23">LocationList8(U$8,$M23,1)</f>
        <v>3.199451601346007</v>
      </c>
      <c r="V23">
        <v>1.143207096144272</v>
      </c>
      <c r="W23">
        <v>1.0442616712694701</v>
      </c>
      <c r="X23">
        <v>1.0296156422435139</v>
      </c>
      <c r="Y23">
        <v>1.0219300051815103</v>
      </c>
      <c r="Z23">
        <v>1.0206266230299978</v>
      </c>
      <c r="AA23">
        <v>1.0123376555708536</v>
      </c>
      <c r="AB23">
        <v>1</v>
      </c>
      <c r="AC23">
        <v>0.9371107950115497</v>
      </c>
      <c r="AE23" cm="1">
        <f t="array" ref="AE23">criticaleta(AF23,AG23)</f>
        <v>0.21799265779080765</v>
      </c>
      <c r="AF23">
        <v>3</v>
      </c>
      <c r="AG23">
        <v>4</v>
      </c>
      <c r="AI23">
        <f t="shared" si="5"/>
        <v>14</v>
      </c>
      <c r="AJ23">
        <f t="shared" si="0"/>
        <v>0.25021120451609702</v>
      </c>
      <c r="AK23" t="str" cm="1">
        <f t="array" ref="AK23">INDEX($N$9:$U$9,1,VLOOKUP(AJ23,CriticalPointList,2,FALSE))</f>
        <v>median</v>
      </c>
      <c r="AL23" t="str" cm="1">
        <f t="array" ref="AL23">INDEX($N$9:$U$9,1,VLOOKUP(AJ23,CriticalPointList,3,FALSE))</f>
        <v>esm2</v>
      </c>
      <c r="AM23" cm="1">
        <f t="array" ref="AM23">GompGini(AJ23,0)</f>
        <v>0.31176653209041749</v>
      </c>
      <c r="AN23" cm="1">
        <f t="array" ref="AN23">GompCov(AJ23,0)</f>
        <v>0.54406268314051232</v>
      </c>
    </row>
    <row r="24" spans="1:40" x14ac:dyDescent="0.3">
      <c r="A24">
        <f t="shared" si="1"/>
        <v>0.21875</v>
      </c>
      <c r="B24" cm="1">
        <f t="array" ref="B24">GompEtafromCoV(A24)</f>
        <v>1.8786760302884088E-3</v>
      </c>
      <c r="C24" cm="1">
        <f t="array" ref="C24">GompCov(B24,0)</f>
        <v>0.21874999999999845</v>
      </c>
      <c r="D24" cm="1">
        <f t="array" ref="D24">GompMSkew(B24,0)</f>
        <v>-0.95338434010608886</v>
      </c>
      <c r="E24" cm="1">
        <f t="array" ref="E24">GompMKurt(B24,0)</f>
        <v>1.2306145277361937</v>
      </c>
      <c r="G24">
        <f t="shared" si="2"/>
        <v>0.109375</v>
      </c>
      <c r="H24" cm="1">
        <f t="array" ref="H24">GompEtafromGini(G24)</f>
        <v>1.0597614954327803E-3</v>
      </c>
      <c r="I24" cm="1">
        <f t="array" ref="I24">GompLSkew(H24,0)</f>
        <v>-0.16396902840304181</v>
      </c>
      <c r="J24" cm="1">
        <f t="array" ref="J24">GompLKurt(H24,0)</f>
        <v>0.14522366021095698</v>
      </c>
      <c r="L24">
        <f t="shared" si="3"/>
        <v>0.21875</v>
      </c>
      <c r="M24">
        <f t="shared" si="4"/>
        <v>2.8929018181021476E-2</v>
      </c>
      <c r="N24" cm="1">
        <f t="array" ref="N24">LocationList8(N$8,$M24,1)</f>
        <v>3.5429100983155335</v>
      </c>
      <c r="O24" cm="1">
        <f t="array" ref="O24">LocationList8(O$8,$M24,1)</f>
        <v>3.217285491079827</v>
      </c>
      <c r="P24" cm="1">
        <f t="array" ref="P24">LocationList8(P$8,$M24,1)</f>
        <v>3.1707257250435976</v>
      </c>
      <c r="Q24" cm="1">
        <f t="array" ref="Q24">LocationList8(Q$8,$M24,1)</f>
        <v>3.1470165531537102</v>
      </c>
      <c r="R24" cm="1">
        <f t="array" ref="R24">LocationList8(R$8,$M24,1)</f>
        <v>3.1415132393870975</v>
      </c>
      <c r="S24" cm="1">
        <f t="array" ref="S24">LocationList8(S$8,$M24,1)</f>
        <v>3.1158700386925799</v>
      </c>
      <c r="T24" cm="1">
        <f t="array" ref="T24">LocationList8(T$8,$M24,1)</f>
        <v>3.0823062356195474</v>
      </c>
      <c r="U24" cm="1">
        <f t="array" ref="U24">LocationList8(U$8,$M24,1)</f>
        <v>2.9042913315796191</v>
      </c>
      <c r="V24">
        <v>1.1494348151955784</v>
      </c>
      <c r="W24">
        <v>1.0437916433806742</v>
      </c>
      <c r="X24">
        <v>1.0286861468864652</v>
      </c>
      <c r="Y24">
        <v>1.0209941234217295</v>
      </c>
      <c r="Z24">
        <v>1.0192086701455378</v>
      </c>
      <c r="AA24">
        <v>1.0108891850800432</v>
      </c>
      <c r="AB24">
        <v>1</v>
      </c>
      <c r="AC24">
        <v>0.94224619799851028</v>
      </c>
      <c r="AE24" cm="1">
        <f t="array" ref="AE24">criticaleta(AF24,AG24)</f>
        <v>0.30997851478538219</v>
      </c>
      <c r="AF24">
        <v>3</v>
      </c>
      <c r="AG24">
        <v>5</v>
      </c>
      <c r="AI24">
        <f t="shared" si="5"/>
        <v>15</v>
      </c>
      <c r="AJ24">
        <f t="shared" si="0"/>
        <v>0.25273111374827983</v>
      </c>
      <c r="AK24" t="str" cm="1">
        <f t="array" ref="AK24">INDEX($N$9:$U$9,1,VLOOKUP(AJ24,CriticalPointList,2,FALSE))</f>
        <v>mode</v>
      </c>
      <c r="AL24" t="str" cm="1">
        <f t="array" ref="AL24">INDEX($N$9:$U$9,1,VLOOKUP(AJ24,CriticalPointList,3,FALSE))</f>
        <v>mackle</v>
      </c>
      <c r="AM24" cm="1">
        <f t="array" ref="AM24">GompGini(AJ24,0)</f>
        <v>0.31237196670635597</v>
      </c>
      <c r="AN24" cm="1">
        <f t="array" ref="AN24">GompCov(AJ24,0)</f>
        <v>0.54514478315943171</v>
      </c>
    </row>
    <row r="25" spans="1:40" x14ac:dyDescent="0.3">
      <c r="A25">
        <f t="shared" si="1"/>
        <v>0.234375</v>
      </c>
      <c r="B25" cm="1">
        <f t="array" ref="B25">GompEtafromCoV(A25)</f>
        <v>2.9077307420965659E-3</v>
      </c>
      <c r="C25" cm="1">
        <f t="array" ref="C25">GompCov(B25,0)</f>
        <v>0.23437499999998976</v>
      </c>
      <c r="D25" cm="1">
        <f t="array" ref="D25">GompMSkew(B25,0)</f>
        <v>-0.90618454148131189</v>
      </c>
      <c r="E25" cm="1">
        <f t="array" ref="E25">GompMKurt(B25,0)</f>
        <v>1.018839271216011</v>
      </c>
      <c r="G25">
        <f t="shared" si="2"/>
        <v>0.1171875</v>
      </c>
      <c r="H25" cm="1">
        <f t="array" ref="H25">GompEtafromGini(G25)</f>
        <v>1.6554450755200841E-3</v>
      </c>
      <c r="I25" cm="1">
        <f t="array" ref="I25">GompLSkew(H25,0)</f>
        <v>-0.16145652886653114</v>
      </c>
      <c r="J25" cm="1">
        <f t="array" ref="J25">GompLKurt(H25,0)</f>
        <v>0.14317334114444938</v>
      </c>
      <c r="L25">
        <f t="shared" si="3"/>
        <v>0.234375</v>
      </c>
      <c r="M25">
        <f t="shared" si="4"/>
        <v>3.9645127125729769E-2</v>
      </c>
      <c r="N25" cm="1">
        <f t="array" ref="N25">LocationList8(N$8,$M25,1)</f>
        <v>3.2277872356610806</v>
      </c>
      <c r="O25" cm="1">
        <f t="array" ref="O25">LocationList8(O$8,$M25,1)</f>
        <v>2.9168942728299405</v>
      </c>
      <c r="P25" cm="1">
        <f t="array" ref="P25">LocationList8(P$8,$M25,1)</f>
        <v>2.8742382248968426</v>
      </c>
      <c r="Q25" cm="1">
        <f t="array" ref="Q25">LocationList8(Q$8,$M25,1)</f>
        <v>2.8532404562913314</v>
      </c>
      <c r="R25" cm="1">
        <f t="array" ref="R25">LocationList8(R$8,$M25,1)</f>
        <v>2.8468051798853002</v>
      </c>
      <c r="S25" cm="1">
        <f t="array" ref="S25">LocationList8(S$8,$M25,1)</f>
        <v>2.8241079915944831</v>
      </c>
      <c r="T25" cm="1">
        <f t="array" ref="T25">LocationList8(T$8,$M25,1)</f>
        <v>2.7986078042888343</v>
      </c>
      <c r="U25" cm="1">
        <f t="array" ref="U25">LocationList8(U$8,$M25,1)</f>
        <v>2.6541828424564575</v>
      </c>
      <c r="V25">
        <v>1.1533546182192924</v>
      </c>
      <c r="W25">
        <v>1.042266182621171</v>
      </c>
      <c r="X25">
        <v>1.027024301330149</v>
      </c>
      <c r="Y25">
        <v>1.0195213677024602</v>
      </c>
      <c r="Z25">
        <v>1.0172219113812961</v>
      </c>
      <c r="AA25">
        <v>1.0091117402254686</v>
      </c>
      <c r="AB25">
        <v>1</v>
      </c>
      <c r="AC25">
        <v>0.94839399732572494</v>
      </c>
      <c r="AE25" cm="1">
        <f t="array" ref="AE25">criticaleta(AF25,AG25)</f>
        <v>0.25672088020022565</v>
      </c>
      <c r="AF25">
        <v>3</v>
      </c>
      <c r="AG25">
        <v>6</v>
      </c>
      <c r="AI25">
        <f t="shared" si="5"/>
        <v>16</v>
      </c>
      <c r="AJ25">
        <f t="shared" si="0"/>
        <v>0.25672088020022565</v>
      </c>
      <c r="AK25" t="str" cm="1">
        <f t="array" ref="AK25">INDEX($N$9:$U$9,1,VLOOKUP(AJ25,CriticalPointList,2,FALSE))</f>
        <v>esm3</v>
      </c>
      <c r="AL25" t="str" cm="1">
        <f t="array" ref="AL25">INDEX($N$9:$U$9,1,VLOOKUP(AJ25,CriticalPointList,3,FALSE))</f>
        <v>mh3</v>
      </c>
      <c r="AM25" cm="1">
        <f t="array" ref="AM25">GompGini(AJ25,0)</f>
        <v>0.31331895872719479</v>
      </c>
      <c r="AN25" cm="1">
        <f t="array" ref="AN25">GompCov(AJ25,0)</f>
        <v>0.54683937681393491</v>
      </c>
    </row>
    <row r="26" spans="1:40" x14ac:dyDescent="0.3">
      <c r="A26">
        <f t="shared" si="1"/>
        <v>0.25</v>
      </c>
      <c r="B26" cm="1">
        <f t="array" ref="B26">GompEtafromCoV(A26)</f>
        <v>4.3042635208713998E-3</v>
      </c>
      <c r="C26" cm="1">
        <f t="array" ref="C26">GompCov(B26,0)</f>
        <v>0.25000000000001055</v>
      </c>
      <c r="D26" cm="1">
        <f t="array" ref="D26">GompMSkew(B26,0)</f>
        <v>-0.85618126830289687</v>
      </c>
      <c r="E26" cm="1">
        <f t="array" ref="E26">GompMKurt(B26,0)</f>
        <v>0.81481567598167259</v>
      </c>
      <c r="G26">
        <f t="shared" si="2"/>
        <v>0.125</v>
      </c>
      <c r="H26" cm="1">
        <f t="array" ref="H26">GompEtafromGini(G26)</f>
        <v>2.4620237439642273E-3</v>
      </c>
      <c r="I26" cm="1">
        <f t="array" ref="I26">GompLSkew(H26,0)</f>
        <v>-0.15841631916457791</v>
      </c>
      <c r="J26" cm="1">
        <f t="array" ref="J26">GompLKurt(H26,0)</f>
        <v>0.14075843727659576</v>
      </c>
      <c r="L26">
        <f t="shared" si="3"/>
        <v>0.25</v>
      </c>
      <c r="M26">
        <f t="shared" si="4"/>
        <v>5.2395696491255951E-2</v>
      </c>
      <c r="N26" cm="1">
        <f t="array" ref="N26">LocationList8(N$8,$M26,1)</f>
        <v>2.9489308190572983</v>
      </c>
      <c r="O26" cm="1">
        <f t="array" ref="O26">LocationList8(O$8,$M26,1)</f>
        <v>2.6552881871145924</v>
      </c>
      <c r="P26" cm="1">
        <f t="array" ref="P26">LocationList8(P$8,$M26,1)</f>
        <v>2.6168849543911179</v>
      </c>
      <c r="Q26" cm="1">
        <f t="array" ref="Q26">LocationList8(Q$8,$M26,1)</f>
        <v>2.5986861263779244</v>
      </c>
      <c r="R26" cm="1">
        <f t="array" ref="R26">LocationList8(R$8,$M26,1)</f>
        <v>2.5915068500671574</v>
      </c>
      <c r="S26" cm="1">
        <f t="array" ref="S26">LocationList8(S$8,$M26,1)</f>
        <v>2.5719324754484023</v>
      </c>
      <c r="T26" cm="1">
        <f t="array" ref="T26">LocationList8(T$8,$M26,1)</f>
        <v>2.5537952704508045</v>
      </c>
      <c r="U26" cm="1">
        <f t="array" ref="U26">LocationList8(U$8,$M26,1)</f>
        <v>2.4397607084293429</v>
      </c>
      <c r="V26">
        <v>1.1547248337321665</v>
      </c>
      <c r="W26">
        <v>1.0397419941363866</v>
      </c>
      <c r="X26">
        <v>1.0247042841179577</v>
      </c>
      <c r="Y26">
        <v>1.0175780950205908</v>
      </c>
      <c r="Z26">
        <v>1.014766876598411</v>
      </c>
      <c r="AA26">
        <v>1.0071020591225373</v>
      </c>
      <c r="AB26">
        <v>1</v>
      </c>
      <c r="AC26">
        <v>0.95534702278568639</v>
      </c>
      <c r="AE26" cm="1">
        <f t="array" ref="AE26">criticaleta(AF26,AG26)</f>
        <v>0.18189720348503893</v>
      </c>
      <c r="AF26">
        <v>3</v>
      </c>
      <c r="AG26">
        <v>7</v>
      </c>
      <c r="AI26">
        <f t="shared" si="5"/>
        <v>17</v>
      </c>
      <c r="AJ26">
        <f t="shared" si="0"/>
        <v>0.26161981424646685</v>
      </c>
      <c r="AK26" t="str" cm="1">
        <f t="array" ref="AK26">INDEX($N$9:$U$9,1,VLOOKUP(AJ26,CriticalPointList,2,FALSE))</f>
        <v>median</v>
      </c>
      <c r="AL26" t="str" cm="1">
        <f t="array" ref="AL26">INDEX($N$9:$U$9,1,VLOOKUP(AJ26,CriticalPointList,3,FALSE))</f>
        <v>mh3</v>
      </c>
      <c r="AM26" cm="1">
        <f t="array" ref="AM26">GompGini(AJ26,0)</f>
        <v>0.31446282250505009</v>
      </c>
      <c r="AN26" cm="1">
        <f t="array" ref="AN26">GompCov(AJ26,0)</f>
        <v>0.54888959128298298</v>
      </c>
    </row>
    <row r="27" spans="1:40" x14ac:dyDescent="0.3">
      <c r="A27">
        <f t="shared" si="1"/>
        <v>0.265625</v>
      </c>
      <c r="B27" cm="1">
        <f t="array" ref="B27">GompEtafromCoV(A27)</f>
        <v>6.1428876215663735E-3</v>
      </c>
      <c r="C27" cm="1">
        <f t="array" ref="C27">GompCov(B27,0)</f>
        <v>0.26562499999999778</v>
      </c>
      <c r="D27" cm="1">
        <f t="array" ref="D27">GompMSkew(B27,0)</f>
        <v>-0.80409183777510362</v>
      </c>
      <c r="E27" cm="1">
        <f t="array" ref="E27">GompMKurt(B27,0)</f>
        <v>0.62154823577889762</v>
      </c>
      <c r="G27">
        <f t="shared" si="2"/>
        <v>0.1328125</v>
      </c>
      <c r="H27" cm="1">
        <f t="array" ref="H27">GompEtafromGini(G27)</f>
        <v>3.5179478920709904E-3</v>
      </c>
      <c r="I27" cm="1">
        <f t="array" ref="I27">GompLSkew(H27,0)</f>
        <v>-0.15484773917448533</v>
      </c>
      <c r="J27" cm="1">
        <f t="array" ref="J27">GompLKurt(H27,0)</f>
        <v>0.13800437598282642</v>
      </c>
      <c r="M27">
        <v>0.06</v>
      </c>
      <c r="N27" cm="1">
        <f t="array" ref="N27">LocationList8(N$8,$M27,1)</f>
        <v>2.8134107167600364</v>
      </c>
      <c r="O27" cm="1">
        <f t="array" ref="O27">LocationList8(O$8,$M27,1)</f>
        <v>2.5299161053891388</v>
      </c>
      <c r="P27" cm="1">
        <f t="array" ref="P27">LocationList8(P$8,$M27,1)</f>
        <v>2.4938700346377214</v>
      </c>
      <c r="Q27" cm="1">
        <f t="array" ref="Q27">LocationList8(Q$8,$M27,1)</f>
        <v>2.4771629506976494</v>
      </c>
      <c r="R27" cm="1">
        <f t="array" ref="R27">LocationList8(R$8,$M27,1)</f>
        <v>2.4696796520445341</v>
      </c>
      <c r="S27" cm="1">
        <f t="array" ref="S27">LocationList8(S$8,$M27,1)</f>
        <v>2.4517947009085406</v>
      </c>
      <c r="T27" cm="1">
        <f t="array" ref="T27">LocationList8(T$8,$M27,1)</f>
        <v>2.4372407712234665</v>
      </c>
      <c r="U27" cm="1">
        <f t="array" ref="U27">LocationList8(U$8,$M27,1)</f>
        <v>2.3380489513338447</v>
      </c>
      <c r="V27">
        <v>1.1543425458731913</v>
      </c>
      <c r="W27">
        <v>1.0380246938504769</v>
      </c>
      <c r="X27">
        <v>1.0232349893711272</v>
      </c>
      <c r="Y27">
        <v>1.016380072065733</v>
      </c>
      <c r="Z27">
        <v>1.0133096742858045</v>
      </c>
      <c r="AA27">
        <v>1.0059714780160058</v>
      </c>
      <c r="AB27">
        <v>1</v>
      </c>
      <c r="AC27">
        <v>0.95930159175868834</v>
      </c>
      <c r="AE27" cm="1">
        <f t="array" ref="AE27">criticaleta(AF27,AG27)</f>
        <v>0.16415691676151026</v>
      </c>
      <c r="AF27">
        <v>3</v>
      </c>
      <c r="AG27">
        <v>8</v>
      </c>
      <c r="AI27">
        <f t="shared" si="5"/>
        <v>18</v>
      </c>
      <c r="AJ27">
        <f t="shared" si="0"/>
        <v>0.26747371869545311</v>
      </c>
      <c r="AK27" t="str" cm="1">
        <f t="array" ref="AK27">INDEX($N$9:$U$9,1,VLOOKUP(AJ27,CriticalPointList,2,FALSE))</f>
        <v>median</v>
      </c>
      <c r="AL27" t="str" cm="1">
        <f t="array" ref="AL27">INDEX($N$9:$U$9,1,VLOOKUP(AJ27,CriticalPointList,3,FALSE))</f>
        <v>esm3</v>
      </c>
      <c r="AM27" cm="1">
        <f t="array" ref="AM27">GompGini(AJ27,0)</f>
        <v>0.31580321969608877</v>
      </c>
      <c r="AN27" cm="1">
        <f t="array" ref="AN27">GompCov(AJ27,0)</f>
        <v>0.55129676277539075</v>
      </c>
    </row>
    <row r="28" spans="1:40" x14ac:dyDescent="0.3">
      <c r="A28">
        <f t="shared" si="1"/>
        <v>0.28125</v>
      </c>
      <c r="B28" cm="1">
        <f t="array" ref="B28">GompEtafromCoV(A28)</f>
        <v>8.5046428071736419E-3</v>
      </c>
      <c r="C28" cm="1">
        <f t="array" ref="C28">GompCov(B28,0)</f>
        <v>0.28125000000000222</v>
      </c>
      <c r="D28" cm="1">
        <f t="array" ref="D28">GompMSkew(B28,0)</f>
        <v>-0.75050443570610015</v>
      </c>
      <c r="E28" cm="1">
        <f t="array" ref="E28">GompMKurt(B28,0)</f>
        <v>0.44090044095572667</v>
      </c>
      <c r="G28">
        <f t="shared" si="2"/>
        <v>0.140625</v>
      </c>
      <c r="H28" cm="1">
        <f t="array" ref="H28">GompEtafromGini(G28)</f>
        <v>4.8634601437919601E-3</v>
      </c>
      <c r="I28" cm="1">
        <f t="array" ref="I28">GompLSkew(H28,0)</f>
        <v>-0.15075890207691028</v>
      </c>
      <c r="J28" cm="1">
        <f t="array" ref="J28">GompLKurt(H28,0)</f>
        <v>0.13494429586091075</v>
      </c>
      <c r="M28">
        <f t="shared" ref="M28:M44" si="6">M27+0.02</f>
        <v>0.08</v>
      </c>
      <c r="N28" cm="1">
        <f t="array" ref="N28">LocationList8(N$8,$M28,1)</f>
        <v>2.5257286443082556</v>
      </c>
      <c r="O28" cm="1">
        <f t="array" ref="O28">LocationList8(O$8,$M28,1)</f>
        <v>2.268442797548734</v>
      </c>
      <c r="P28" cm="1">
        <f t="array" ref="P28">LocationList8(P$8,$M28,1)</f>
        <v>2.2380433128219135</v>
      </c>
      <c r="Q28" cm="1">
        <f t="array" ref="Q28">LocationList8(Q$8,$M28,1)</f>
        <v>2.2247610171026082</v>
      </c>
      <c r="R28" cm="1">
        <f t="array" ref="R28">LocationList8(R$8,$M28,1)</f>
        <v>2.2168295080918963</v>
      </c>
      <c r="S28" cm="1">
        <f t="array" ref="S28">LocationList8(S$8,$M28,1)</f>
        <v>2.2028649185182809</v>
      </c>
      <c r="T28" cm="1">
        <f t="array" ref="T28">LocationList8(T$8,$M28,1)</f>
        <v>2.1957589750412483</v>
      </c>
      <c r="U28" cm="1">
        <f t="array" ref="U28">LocationList8(U$8,$M28,1)</f>
        <v>2.1278699113270148</v>
      </c>
      <c r="V28">
        <v>1.1502759059704213</v>
      </c>
      <c r="W28">
        <v>1.0331019129757264</v>
      </c>
      <c r="X28">
        <v>1.0192572765323074</v>
      </c>
      <c r="Y28">
        <v>1.0132082083648617</v>
      </c>
      <c r="Z28">
        <v>1.0095960136290698</v>
      </c>
      <c r="AA28">
        <v>1.0032362128802863</v>
      </c>
      <c r="AB28">
        <v>1</v>
      </c>
      <c r="AC28">
        <v>0.9690817323367843</v>
      </c>
      <c r="AE28" cm="1">
        <f t="array" ref="AE28">criticaleta(AF28,AG28)</f>
        <v>0.65622992670224689</v>
      </c>
      <c r="AF28">
        <v>4</v>
      </c>
      <c r="AG28">
        <v>5</v>
      </c>
      <c r="AI28">
        <f t="shared" si="5"/>
        <v>19</v>
      </c>
      <c r="AJ28">
        <f t="shared" si="0"/>
        <v>0.28378890066809392</v>
      </c>
      <c r="AK28" t="str" cm="1">
        <f t="array" ref="AK28">INDEX($N$9:$U$9,1,VLOOKUP(AJ28,CriticalPointList,2,FALSE))</f>
        <v>median</v>
      </c>
      <c r="AL28" t="str" cm="1">
        <f t="array" ref="AL28">INDEX($N$9:$U$9,1,VLOOKUP(AJ28,CriticalPointList,3,FALSE))</f>
        <v>mh2</v>
      </c>
      <c r="AM28" cm="1">
        <f t="array" ref="AM28">GompGini(AJ28,0)</f>
        <v>0.31939590427416592</v>
      </c>
      <c r="AN28" cm="1">
        <f t="array" ref="AN28">GompCov(AJ28,0)</f>
        <v>0.55777435356975136</v>
      </c>
    </row>
    <row r="29" spans="1:40" x14ac:dyDescent="0.3">
      <c r="A29">
        <f t="shared" si="1"/>
        <v>0.296875</v>
      </c>
      <c r="B29" cm="1">
        <f t="array" ref="B29">GompEtafromCoV(A29)</f>
        <v>1.1477458523764758E-2</v>
      </c>
      <c r="C29" cm="1">
        <f t="array" ref="C29">GompCov(B29,0)</f>
        <v>0.29687500000000516</v>
      </c>
      <c r="D29" cm="1">
        <f t="array" ref="D29">GompMSkew(B29,0)</f>
        <v>-0.69588988795388063</v>
      </c>
      <c r="E29" cm="1">
        <f t="array" ref="E29">GompMKurt(B29,0)</f>
        <v>0.27390163156839087</v>
      </c>
      <c r="G29">
        <f t="shared" si="2"/>
        <v>0.1484375</v>
      </c>
      <c r="H29" cm="1">
        <f t="array" ref="H29">GompEtafromGini(G29)</f>
        <v>6.5408627735524137E-3</v>
      </c>
      <c r="I29" cm="1">
        <f t="array" ref="I29">GompLSkew(H29,0)</f>
        <v>-0.14616404397072774</v>
      </c>
      <c r="J29" cm="1">
        <f t="array" ref="J29">GompLKurt(H29,0)</f>
        <v>0.13161617988000712</v>
      </c>
      <c r="M29">
        <f t="shared" si="6"/>
        <v>0.1</v>
      </c>
      <c r="N29" cm="1">
        <f t="array" ref="N29">LocationList8(N$8,$M29,1)</f>
        <v>2.3025850929940455</v>
      </c>
      <c r="O29" cm="1">
        <f t="array" ref="O29">LocationList8(O$8,$M29,1)</f>
        <v>2.0708386181225462</v>
      </c>
      <c r="P29" cm="1">
        <f t="array" ref="P29">LocationList8(P$8,$M29,1)</f>
        <v>2.0453997188681434</v>
      </c>
      <c r="Q29" cm="1">
        <f t="array" ref="Q29">LocationList8(Q$8,$M29,1)</f>
        <v>2.0349750306355472</v>
      </c>
      <c r="R29" cm="1">
        <f t="array" ref="R29">LocationList8(R$8,$M29,1)</f>
        <v>2.026943263050228</v>
      </c>
      <c r="S29" cm="1">
        <f t="array" ref="S29">LocationList8(S$8,$M29,1)</f>
        <v>2.0162691836292277</v>
      </c>
      <c r="T29" cm="1">
        <f t="array" ref="T29">LocationList8(T$8,$M29,1)</f>
        <v>2.0146425447084515</v>
      </c>
      <c r="U29" cm="1">
        <f t="array" ref="U29">LocationList8(U$8,$M29,1)</f>
        <v>1.9704963563726663</v>
      </c>
      <c r="V29">
        <v>1.1429248821543494</v>
      </c>
      <c r="W29">
        <v>1.0278938184650652</v>
      </c>
      <c r="X29">
        <v>1.01526681457238</v>
      </c>
      <c r="Y29">
        <v>1.0100923540905555</v>
      </c>
      <c r="Z29">
        <v>1.0061056579858718</v>
      </c>
      <c r="AA29">
        <v>1.000807408205018</v>
      </c>
      <c r="AB29">
        <v>1</v>
      </c>
      <c r="AC29">
        <v>0.97808733442479057</v>
      </c>
      <c r="AE29" cm="1">
        <f t="array" ref="AE29">criticaleta(AF29,AG29)</f>
        <v>0.28775586284299381</v>
      </c>
      <c r="AF29">
        <v>4</v>
      </c>
      <c r="AG29">
        <v>6</v>
      </c>
      <c r="AI29">
        <f t="shared" si="5"/>
        <v>20</v>
      </c>
      <c r="AJ29">
        <f t="shared" si="0"/>
        <v>0.2850142622496491</v>
      </c>
      <c r="AK29" t="str" cm="1">
        <f t="array" ref="AK29">INDEX($N$9:$U$9,1,VLOOKUP(AJ29,CriticalPointList,2,FALSE))</f>
        <v>mode</v>
      </c>
      <c r="AL29" t="str" cm="1">
        <f t="array" ref="AL29">INDEX($N$9:$U$9,1,VLOOKUP(AJ29,CriticalPointList,3,FALSE))</f>
        <v>mean</v>
      </c>
      <c r="AM29" cm="1">
        <f t="array" ref="AM29">GompGini(AJ29,0)</f>
        <v>0.31965765665899548</v>
      </c>
      <c r="AN29" cm="1">
        <f t="array" ref="AN29">GompCov(AJ29,0)</f>
        <v>0.55824777995261099</v>
      </c>
    </row>
    <row r="30" spans="1:40" x14ac:dyDescent="0.3">
      <c r="A30">
        <f t="shared" si="1"/>
        <v>0.3125</v>
      </c>
      <c r="B30" cm="1">
        <f t="array" ref="B30">GompEtafromCoV(A30)</f>
        <v>1.515675960010987E-2</v>
      </c>
      <c r="C30" cm="1">
        <f t="array" ref="C30">GompCov(B30,0)</f>
        <v>0.31249999999999545</v>
      </c>
      <c r="D30" cm="1">
        <f t="array" ref="D30">GompMSkew(B30,0)</f>
        <v>-0.64061783234635539</v>
      </c>
      <c r="E30" cm="1">
        <f t="array" ref="E30">GompMKurt(B30,0)</f>
        <v>0.12099354072554749</v>
      </c>
      <c r="G30">
        <f t="shared" si="2"/>
        <v>0.15625</v>
      </c>
      <c r="H30" cm="1">
        <f t="array" ref="H30">GompEtafromGini(G30)</f>
        <v>8.5948942960002959E-3</v>
      </c>
      <c r="I30" cm="1">
        <f t="array" ref="I30">GompLSkew(H30,0)</f>
        <v>-0.14108142385235345</v>
      </c>
      <c r="J30" cm="1">
        <f t="array" ref="J30">GompLKurt(H30,0)</f>
        <v>0.12806065317499532</v>
      </c>
      <c r="M30">
        <f t="shared" si="6"/>
        <v>0.12000000000000001</v>
      </c>
      <c r="N30" cm="1">
        <f t="array" ref="N30">LocationList8(N$8,$M30,1)</f>
        <v>2.120263536200091</v>
      </c>
      <c r="O30" cm="1">
        <f t="array" ref="O30">LocationList8(O$8,$M30,1)</f>
        <v>1.9134203842801774</v>
      </c>
      <c r="P30" cm="1">
        <f t="array" ref="P30">LocationList8(P$8,$M30,1)</f>
        <v>1.8923702369766984</v>
      </c>
      <c r="Q30" cm="1">
        <f t="array" ref="Q30">LocationList8(Q$8,$M30,1)</f>
        <v>1.88437111560419</v>
      </c>
      <c r="R30" cm="1">
        <f t="array" ref="R30">LocationList8(R$8,$M30,1)</f>
        <v>1.8764559995318364</v>
      </c>
      <c r="S30" cm="1">
        <f t="array" ref="S30">LocationList8(S$8,$M30,1)</f>
        <v>1.8685691307731198</v>
      </c>
      <c r="T30" cm="1">
        <f t="array" ref="T30">LocationList8(T$8,$M30,1)</f>
        <v>1.8711281005452998</v>
      </c>
      <c r="U30" cm="1">
        <f t="array" ref="U30">LocationList8(U$8,$M30,1)</f>
        <v>1.8457784278871816</v>
      </c>
      <c r="V30">
        <v>1.1331471830187287</v>
      </c>
      <c r="W30">
        <v>1.0226025592382224</v>
      </c>
      <c r="X30">
        <v>1.011352582661341</v>
      </c>
      <c r="Y30">
        <v>1.0070775566114532</v>
      </c>
      <c r="Z30">
        <v>1.0028474260981832</v>
      </c>
      <c r="AA30">
        <v>0.99863239199313281</v>
      </c>
      <c r="AB30">
        <v>1</v>
      </c>
      <c r="AC30">
        <v>0.98645219819491214</v>
      </c>
      <c r="AE30" cm="1">
        <f t="array" ref="AE30">criticaleta(AF30,AG30)</f>
        <v>0.17034011264219082</v>
      </c>
      <c r="AF30">
        <v>4</v>
      </c>
      <c r="AG30">
        <v>7</v>
      </c>
      <c r="AI30">
        <f t="shared" si="5"/>
        <v>21</v>
      </c>
      <c r="AJ30">
        <f t="shared" si="0"/>
        <v>0.28775586284299381</v>
      </c>
      <c r="AK30" t="str" cm="1">
        <f t="array" ref="AK30">INDEX($N$9:$U$9,1,VLOOKUP(AJ30,CriticalPointList,2,FALSE))</f>
        <v>esm2</v>
      </c>
      <c r="AL30" t="str" cm="1">
        <f t="array" ref="AL30">INDEX($N$9:$U$9,1,VLOOKUP(AJ30,CriticalPointList,3,FALSE))</f>
        <v>mh3</v>
      </c>
      <c r="AM30" cm="1">
        <f t="array" ref="AM30">GompGini(AJ30,0)</f>
        <v>0.32023938320900791</v>
      </c>
      <c r="AN30" cm="1">
        <f t="array" ref="AN30">GompCov(AJ30,0)</f>
        <v>0.55930067369410763</v>
      </c>
    </row>
    <row r="31" spans="1:40" x14ac:dyDescent="0.3">
      <c r="A31">
        <f t="shared" si="1"/>
        <v>0.328125</v>
      </c>
      <c r="B31" cm="1">
        <f t="array" ref="B31">GompEtafromCoV(A31)</f>
        <v>1.9646211296683137E-2</v>
      </c>
      <c r="C31" cm="1">
        <f t="array" ref="C31">GompCov(B31,0)</f>
        <v>0.32812500000000788</v>
      </c>
      <c r="D31" cm="1">
        <f t="array" ref="D31">GompMSkew(B31,0)</f>
        <v>-0.58497339503243706</v>
      </c>
      <c r="E31" cm="1">
        <f t="array" ref="E31">GompMKurt(B31,0)</f>
        <v>-1.7781653398529811E-2</v>
      </c>
      <c r="G31">
        <f t="shared" si="2"/>
        <v>0.1640625</v>
      </c>
      <c r="H31" cm="1">
        <f t="array" ref="H31">GompEtafromGini(G31)</f>
        <v>1.1073191822906175E-2</v>
      </c>
      <c r="I31" cm="1">
        <f t="array" ref="I31">GompLSkew(H31,0)</f>
        <v>-0.13553172950887798</v>
      </c>
      <c r="J31" cm="1">
        <f t="array" ref="J31">GompLKurt(H31,0)</f>
        <v>0.12431936442064626</v>
      </c>
      <c r="M31">
        <f t="shared" si="6"/>
        <v>0.14000000000000001</v>
      </c>
      <c r="N31" cm="1">
        <f t="array" ref="N31">LocationList8(N$8,$M31,1)</f>
        <v>1.9661128563728327</v>
      </c>
      <c r="O31" cm="1">
        <f t="array" ref="O31">LocationList8(O$8,$M31,1)</f>
        <v>1.7835678912970405</v>
      </c>
      <c r="P31" cm="1">
        <f t="array" ref="P31">LocationList8(P$8,$M31,1)</f>
        <v>1.7664228230205463</v>
      </c>
      <c r="Q31" cm="1">
        <f t="array" ref="Q31">LocationList8(Q$8,$M31,1)</f>
        <v>1.7605090630504678</v>
      </c>
      <c r="R31" cm="1">
        <f t="array" ref="R31">LocationList8(R$8,$M31,1)</f>
        <v>1.7528466716988431</v>
      </c>
      <c r="S31" cm="1">
        <f t="array" ref="S31">LocationList8(S$8,$M31,1)</f>
        <v>1.7473397418688226</v>
      </c>
      <c r="T31" cm="1">
        <f t="array" ref="T31">LocationList8(T$8,$M31,1)</f>
        <v>1.7531848898558031</v>
      </c>
      <c r="U31" cm="1">
        <f t="array" ref="U31">LocationList8(U$8,$M31,1)</f>
        <v>1.743155513811808</v>
      </c>
      <c r="V31">
        <v>1.1214520885669637</v>
      </c>
      <c r="W31">
        <v>1.0173301752810204</v>
      </c>
      <c r="X31">
        <v>1.0075507912721242</v>
      </c>
      <c r="Y31">
        <v>1.0041776387858712</v>
      </c>
      <c r="Z31">
        <v>0.99980708357748405</v>
      </c>
      <c r="AA31">
        <v>0.9966659831368605</v>
      </c>
      <c r="AB31">
        <v>1</v>
      </c>
      <c r="AC31">
        <v>0.99427933921742839</v>
      </c>
      <c r="AE31" cm="1">
        <f t="array" ref="AE31">criticaleta(AF31,AG31)</f>
        <v>0.1594875228573415</v>
      </c>
      <c r="AF31">
        <v>4</v>
      </c>
      <c r="AG31">
        <v>8</v>
      </c>
      <c r="AI31">
        <f t="shared" si="5"/>
        <v>22</v>
      </c>
      <c r="AJ31">
        <f t="shared" si="0"/>
        <v>0.29944241581916908</v>
      </c>
      <c r="AK31" t="str" cm="1">
        <f t="array" ref="AK31">INDEX($N$9:$U$9,1,VLOOKUP(AJ31,CriticalPointList,2,FALSE))</f>
        <v>mode</v>
      </c>
      <c r="AL31" t="str" cm="1">
        <f t="array" ref="AL31">INDEX($N$9:$U$9,1,VLOOKUP(AJ31,CriticalPointList,3,FALSE))</f>
        <v>mh3</v>
      </c>
      <c r="AM31" cm="1">
        <f t="array" ref="AM31">GompGini(AJ31,0)</f>
        <v>0.32266035778261093</v>
      </c>
      <c r="AN31" cm="1">
        <f t="array" ref="AN31">GompCov(AJ31,0)</f>
        <v>0.56369355619451456</v>
      </c>
    </row>
    <row r="32" spans="1:40" x14ac:dyDescent="0.3">
      <c r="A32">
        <f t="shared" si="1"/>
        <v>0.34375</v>
      </c>
      <c r="B32" cm="1">
        <f t="array" ref="B32">GompEtafromCoV(A32)</f>
        <v>2.5058609542512291E-2</v>
      </c>
      <c r="C32" cm="1">
        <f t="array" ref="C32">GompCov(B32,0)</f>
        <v>0.34375000000000833</v>
      </c>
      <c r="D32" cm="1">
        <f t="array" ref="D32">GompMSkew(B32,0)</f>
        <v>-0.52917253428181443</v>
      </c>
      <c r="E32" cm="1">
        <f t="array" ref="E32">GompMKurt(B32,0)</f>
        <v>-0.14264257876548328</v>
      </c>
      <c r="G32">
        <f t="shared" si="2"/>
        <v>0.171875</v>
      </c>
      <c r="H32" cm="1">
        <f t="array" ref="H32">GompEtafromGini(G32)</f>
        <v>1.4026828621391919E-2</v>
      </c>
      <c r="I32" cm="1">
        <f t="array" ref="I32">GompLSkew(H32,0)</f>
        <v>-0.12953690576513921</v>
      </c>
      <c r="J32" cm="1">
        <f t="array" ref="J32">GompLKurt(H32,0)</f>
        <v>0.12043384010957751</v>
      </c>
      <c r="M32">
        <f t="shared" si="6"/>
        <v>0.16</v>
      </c>
      <c r="N32" cm="1">
        <f t="array" ref="N32">LocationList8(N$8,$M32,1)</f>
        <v>1.8325814637483102</v>
      </c>
      <c r="O32" cm="1">
        <f t="array" ref="O32">LocationList8(O$8,$M32,1)</f>
        <v>1.6737582619926692</v>
      </c>
      <c r="P32" cm="1">
        <f t="array" ref="P32">LocationList8(P$8,$M32,1)</f>
        <v>1.6601044987761764</v>
      </c>
      <c r="Q32" cm="1">
        <f t="array" ref="Q32">LocationList8(Q$8,$M32,1)</f>
        <v>1.6560016413637042</v>
      </c>
      <c r="R32" cm="1">
        <f t="array" ref="R32">LocationList8(R$8,$M32,1)</f>
        <v>1.6486761515482007</v>
      </c>
      <c r="S32" cm="1">
        <f t="array" ref="S32">LocationList8(S$8,$M32,1)</f>
        <v>1.6452158960153598</v>
      </c>
      <c r="T32" cm="1">
        <f t="array" ref="T32">LocationList8(T$8,$M32,1)</f>
        <v>1.6536959101691822</v>
      </c>
      <c r="U32" cm="1">
        <f t="array" ref="U32">LocationList8(U$8,$M32,1)</f>
        <v>1.656420861442705</v>
      </c>
      <c r="V32">
        <v>1.1081731849725789</v>
      </c>
      <c r="W32">
        <v>1.0121318264743333</v>
      </c>
      <c r="X32">
        <v>1.0038753126058941</v>
      </c>
      <c r="Y32">
        <v>1.0013942897121189</v>
      </c>
      <c r="Z32">
        <v>0.99696452135479496</v>
      </c>
      <c r="AA32">
        <v>0.99487208373578495</v>
      </c>
      <c r="AB32">
        <v>1</v>
      </c>
      <c r="AC32">
        <v>1.0016477946500115</v>
      </c>
      <c r="AE32" cm="1">
        <f t="array" ref="AE32">criticaleta(AF32,AG32)</f>
        <v>0.20206314437240283</v>
      </c>
      <c r="AF32">
        <v>5</v>
      </c>
      <c r="AG32">
        <v>6</v>
      </c>
      <c r="AI32">
        <f t="shared" si="5"/>
        <v>23</v>
      </c>
      <c r="AJ32">
        <f t="shared" si="0"/>
        <v>0.30006290858012785</v>
      </c>
      <c r="AK32" t="str" cm="1">
        <f t="array" ref="AK32">INDEX($N$9:$U$9,1,VLOOKUP(AJ32,CriticalPointList,2,FALSE))</f>
        <v>mode</v>
      </c>
      <c r="AL32" t="str" cm="1">
        <f t="array" ref="AL32">INDEX($N$9:$U$9,1,VLOOKUP(AJ32,CriticalPointList,3,FALSE))</f>
        <v>esm2</v>
      </c>
      <c r="AM32" cm="1">
        <f t="array" ref="AM32">GompGini(AJ32,0)</f>
        <v>0.32278631930740559</v>
      </c>
      <c r="AN32" cm="1">
        <f t="array" ref="AN32">GompCov(AJ32,0)</f>
        <v>0.56392260816517892</v>
      </c>
    </row>
    <row r="33" spans="1:40" x14ac:dyDescent="0.3">
      <c r="A33">
        <f t="shared" si="1"/>
        <v>0.359375</v>
      </c>
      <c r="B33" cm="1">
        <f t="array" ref="B33">GompEtafromCoV(A33)</f>
        <v>3.1516929754979078E-2</v>
      </c>
      <c r="C33" cm="1">
        <f t="array" ref="C33">GompCov(B33,0)</f>
        <v>0.35937500000000561</v>
      </c>
      <c r="D33" cm="1">
        <f t="array" ref="D33">GompMSkew(B33,0)</f>
        <v>-0.47337534711862117</v>
      </c>
      <c r="E33" cm="1">
        <f t="array" ref="E33">GompMKurt(B33,0)</f>
        <v>-0.25396867023648839</v>
      </c>
      <c r="G33">
        <f t="shared" si="2"/>
        <v>0.1796875</v>
      </c>
      <c r="H33" cm="1">
        <f t="array" ref="H33">GompEtafromGini(G33)</f>
        <v>1.7510925766375748E-2</v>
      </c>
      <c r="I33" cm="1">
        <f t="array" ref="I33">GompLSkew(H33,0)</f>
        <v>-0.12311931650108118</v>
      </c>
      <c r="J33" cm="1">
        <f t="array" ref="J33">GompLKurt(H33,0)</f>
        <v>0.11644470387356411</v>
      </c>
      <c r="M33">
        <f t="shared" si="6"/>
        <v>0.18</v>
      </c>
      <c r="N33" cm="1">
        <f t="array" ref="N33">LocationList8(N$8,$M33,1)</f>
        <v>1.7147984280919266</v>
      </c>
      <c r="O33" cm="1">
        <f t="array" ref="O33">LocationList8(O$8,$M33,1)</f>
        <v>1.5791472824461028</v>
      </c>
      <c r="P33" cm="1">
        <f t="array" ref="P33">LocationList8(P$8,$M33,1)</f>
        <v>1.5686275787465696</v>
      </c>
      <c r="Q33" cm="1">
        <f t="array" ref="Q33">LocationList8(Q$8,$M33,1)</f>
        <v>1.5661100416453446</v>
      </c>
      <c r="R33" cm="1">
        <f t="array" ref="R33">LocationList8(R$8,$M33,1)</f>
        <v>1.5591714299344122</v>
      </c>
      <c r="S33" cm="1">
        <f t="array" ref="S33">LocationList8(S$8,$M33,1)</f>
        <v>1.5574824104523857</v>
      </c>
      <c r="T33" cm="1">
        <f t="array" ref="T33">LocationList8(T$8,$M33,1)</f>
        <v>1.568110675469125</v>
      </c>
      <c r="U33" cm="1">
        <f t="array" ref="U33">LocationList8(U$8,$M33,1)</f>
        <v>1.5816265249111694</v>
      </c>
      <c r="V33">
        <v>1.0935442599285397</v>
      </c>
      <c r="W33">
        <v>1.0070381556287002</v>
      </c>
      <c r="X33">
        <v>1.0003296344355859</v>
      </c>
      <c r="Y33">
        <v>0.99872417562415883</v>
      </c>
      <c r="Z33">
        <v>0.99429935292543148</v>
      </c>
      <c r="AA33">
        <v>0.99322224815951865</v>
      </c>
      <c r="AB33">
        <v>1</v>
      </c>
      <c r="AC33">
        <v>1.0086191935642559</v>
      </c>
      <c r="AE33" cm="1">
        <f t="array" ref="AE33">criticaleta(AF33,AG33)</f>
        <v>0.1386896373642344</v>
      </c>
      <c r="AF33">
        <v>5</v>
      </c>
      <c r="AG33">
        <v>7</v>
      </c>
      <c r="AI33">
        <f t="shared" si="5"/>
        <v>24</v>
      </c>
      <c r="AJ33">
        <f t="shared" si="0"/>
        <v>0.30363972048870647</v>
      </c>
      <c r="AK33" t="str" cm="1">
        <f t="array" ref="AK33">INDEX($N$9:$U$9,1,VLOOKUP(AJ33,CriticalPointList,2,FALSE))</f>
        <v>mode</v>
      </c>
      <c r="AL33" t="str" cm="1">
        <f t="array" ref="AL33">INDEX($N$9:$U$9,1,VLOOKUP(AJ33,CriticalPointList,3,FALSE))</f>
        <v>esm3</v>
      </c>
      <c r="AM33" cm="1">
        <f t="array" ref="AM33">GompGini(AJ33,0)</f>
        <v>0.32350751122362648</v>
      </c>
      <c r="AN33" cm="1">
        <f t="array" ref="AN33">GompCov(AJ33,0)</f>
        <v>0.56523499551894829</v>
      </c>
    </row>
    <row r="34" spans="1:40" x14ac:dyDescent="0.3">
      <c r="A34">
        <f t="shared" si="1"/>
        <v>0.375</v>
      </c>
      <c r="B34" cm="1">
        <f t="array" ref="B34">GompEtafromCoV(A34)</f>
        <v>3.915555453700683E-2</v>
      </c>
      <c r="C34" cm="1">
        <f t="array" ref="C34">GompCov(B34,0)</f>
        <v>0.37500000000000777</v>
      </c>
      <c r="D34" cm="1">
        <f t="array" ref="D34">GompMSkew(B34,0)</f>
        <v>-0.41769721609681087</v>
      </c>
      <c r="E34" cm="1">
        <f t="array" ref="E34">GompMKurt(B34,0)</f>
        <v>-0.35222941452945628</v>
      </c>
      <c r="G34">
        <f t="shared" si="2"/>
        <v>0.1875</v>
      </c>
      <c r="H34" cm="1">
        <f t="array" ref="H34">GompEtafromGini(G34)</f>
        <v>2.1585343848363071E-2</v>
      </c>
      <c r="I34" cm="1">
        <f t="array" ref="I34">GompLSkew(H34,0)</f>
        <v>-0.11630116140419601</v>
      </c>
      <c r="J34" cm="1">
        <f t="array" ref="J34">GompLKurt(H34,0)</f>
        <v>0.11239116851022241</v>
      </c>
      <c r="M34">
        <f t="shared" si="6"/>
        <v>0.19999999999999998</v>
      </c>
      <c r="N34" cm="1">
        <f t="array" ref="N34">LocationList8(N$8,$M34,1)</f>
        <v>1.6094379124341005</v>
      </c>
      <c r="O34" cm="1">
        <f t="array" ref="O34">LocationList8(O$8,$M34,1)</f>
        <v>1.496434016604423</v>
      </c>
      <c r="P34" cm="1">
        <f t="array" ref="P34">LocationList8(P$8,$M34,1)</f>
        <v>1.4887375596317782</v>
      </c>
      <c r="Q34" cm="1">
        <f t="array" ref="Q34">LocationList8(Q$8,$M34,1)</f>
        <v>1.487617154821002</v>
      </c>
      <c r="R34" cm="1">
        <f t="array" ref="R34">LocationList8(R$8,$M34,1)</f>
        <v>1.4810924771188796</v>
      </c>
      <c r="S34" cm="1">
        <f t="array" ref="S34">LocationList8(S$8,$M34,1)</f>
        <v>1.4809449974033722</v>
      </c>
      <c r="T34" cm="1">
        <f t="array" ref="T34">LocationList8(T$8,$M34,1)</f>
        <v>1.4933487469322397</v>
      </c>
      <c r="U34" cm="1">
        <f t="array" ref="U34">LocationList8(U$8,$M34,1)</f>
        <v>1.5161111380564034</v>
      </c>
      <c r="V34">
        <v>1.0777374780943438</v>
      </c>
      <c r="W34">
        <v>1.002066007473821</v>
      </c>
      <c r="X34">
        <v>0.99691218323252739</v>
      </c>
      <c r="Y34">
        <v>0.99616191989780545</v>
      </c>
      <c r="Z34">
        <v>0.99179276117615667</v>
      </c>
      <c r="AA34">
        <v>0.99169400345743186</v>
      </c>
      <c r="AB34">
        <v>1</v>
      </c>
      <c r="AC34">
        <v>1.0152425153005444</v>
      </c>
      <c r="AE34" cm="1">
        <f t="array" ref="AE34">criticaleta(AF34,AG34)</f>
        <v>0.15067797101932004</v>
      </c>
      <c r="AF34">
        <v>5</v>
      </c>
      <c r="AG34">
        <v>8</v>
      </c>
      <c r="AI34">
        <f t="shared" si="5"/>
        <v>25</v>
      </c>
      <c r="AJ34">
        <f t="shared" si="0"/>
        <v>0.30394878419325544</v>
      </c>
      <c r="AK34" t="str" cm="1">
        <f t="array" ref="AK34">INDEX($N$9:$U$9,1,VLOOKUP(AJ34,CriticalPointList,2,FALSE))</f>
        <v>mode</v>
      </c>
      <c r="AL34" t="str" cm="1">
        <f t="array" ref="AL34">INDEX($N$9:$U$9,1,VLOOKUP(AJ34,CriticalPointList,3,FALSE))</f>
        <v>mh2</v>
      </c>
      <c r="AM34" cm="1">
        <f t="array" ref="AM34">GompGini(AJ34,0)</f>
        <v>0.32356943845665775</v>
      </c>
      <c r="AN34" cm="1">
        <f t="array" ref="AN34">GompCov(AJ34,0)</f>
        <v>0.56534776327111991</v>
      </c>
    </row>
    <row r="35" spans="1:40" x14ac:dyDescent="0.3">
      <c r="A35">
        <f t="shared" si="1"/>
        <v>0.390625</v>
      </c>
      <c r="B35" cm="1">
        <f t="array" ref="B35">GompEtafromCoV(A35)</f>
        <v>4.8121707469968251E-2</v>
      </c>
      <c r="C35" cm="1">
        <f t="array" ref="C35">GompCov(B35,0)</f>
        <v>0.39062500000000527</v>
      </c>
      <c r="D35" cm="1">
        <f t="array" ref="D35">GompMSkew(B35,0)</f>
        <v>-0.36221794595094176</v>
      </c>
      <c r="E35" cm="1">
        <f t="array" ref="E35">GompMKurt(B35,0)</f>
        <v>-0.4379351018513426</v>
      </c>
      <c r="G35">
        <f t="shared" si="2"/>
        <v>0.1953125</v>
      </c>
      <c r="H35" cm="1">
        <f t="array" ref="H35">GompEtafromGini(G35)</f>
        <v>2.631546634130193E-2</v>
      </c>
      <c r="I35" cm="1">
        <f t="array" ref="I35">GompLSkew(H35,0)</f>
        <v>-0.10910408251214325</v>
      </c>
      <c r="J35" cm="1">
        <f t="array" ref="J35">GompLKurt(H35,0)</f>
        <v>0.10831072681863758</v>
      </c>
      <c r="M35">
        <f t="shared" si="6"/>
        <v>0.21999999999999997</v>
      </c>
      <c r="N35" cm="1">
        <f t="array" ref="N35">LocationList8(N$8,$M35,1)</f>
        <v>1.5141277326297757</v>
      </c>
      <c r="O35" cm="1">
        <f t="array" ref="O35">LocationList8(O$8,$M35,1)</f>
        <v>1.4232695266829873</v>
      </c>
      <c r="P35" cm="1">
        <f t="array" ref="P35">LocationList8(P$8,$M35,1)</f>
        <v>1.4181241296939309</v>
      </c>
      <c r="Q35" cm="1">
        <f t="array" ref="Q35">LocationList8(Q$8,$M35,1)</f>
        <v>1.418241936813051</v>
      </c>
      <c r="R35" cm="1">
        <f t="array" ref="R35">LocationList8(R$8,$M35,1)</f>
        <v>1.4121427417013905</v>
      </c>
      <c r="S35" cm="1">
        <f t="array" ref="S35">LocationList8(S$8,$M35,1)</f>
        <v>1.4133436904506103</v>
      </c>
      <c r="T35" cm="1">
        <f t="array" ref="T35">LocationList8(T$8,$M35,1)</f>
        <v>1.4272314342154131</v>
      </c>
      <c r="U35" cm="1">
        <f t="array" ref="U35">LocationList8(U$8,$M35,1)</f>
        <v>1.4579988240212209</v>
      </c>
      <c r="V35">
        <v>1.0608845183277034</v>
      </c>
      <c r="W35">
        <v>0.99722406090740023</v>
      </c>
      <c r="X35">
        <v>0.99361890138967635</v>
      </c>
      <c r="Y35">
        <v>0.99370144379751291</v>
      </c>
      <c r="Z35">
        <v>0.98942799874477461</v>
      </c>
      <c r="AA35">
        <v>0.99026945214919726</v>
      </c>
      <c r="AB35">
        <v>1</v>
      </c>
      <c r="AC35">
        <v>1.0215573936141069</v>
      </c>
      <c r="AE35" cm="1">
        <f t="array" ref="AE35">criticaleta(AF35,AG35)</f>
        <v>0.10717940081061669</v>
      </c>
      <c r="AF35">
        <v>6</v>
      </c>
      <c r="AG35">
        <v>7</v>
      </c>
      <c r="AI35">
        <f t="shared" si="5"/>
        <v>26</v>
      </c>
      <c r="AJ35">
        <f t="shared" si="0"/>
        <v>0.30685281944005283</v>
      </c>
      <c r="AK35" t="str" cm="1">
        <f t="array" ref="AK35">INDEX($N$9:$U$9,1,VLOOKUP(AJ35,CriticalPointList,2,FALSE))</f>
        <v>mode</v>
      </c>
      <c r="AL35" t="str" cm="1">
        <f t="array" ref="AL35">INDEX($N$9:$U$9,1,VLOOKUP(AJ35,CriticalPointList,3,FALSE))</f>
        <v>median</v>
      </c>
      <c r="AM35" cm="1">
        <f t="array" ref="AM35">GompGini(AJ35,0)</f>
        <v>0.32414833777055008</v>
      </c>
      <c r="AN35" cm="1">
        <f t="array" ref="AN35">GompCov(AJ35,0)</f>
        <v>0.56640250560806016</v>
      </c>
    </row>
    <row r="36" spans="1:40" x14ac:dyDescent="0.3">
      <c r="A36">
        <f t="shared" si="1"/>
        <v>0.40625</v>
      </c>
      <c r="B36" cm="1">
        <f t="array" ref="B36">GompEtafromCoV(A36)</f>
        <v>5.8577127756390179E-2</v>
      </c>
      <c r="C36" cm="1">
        <f t="array" ref="C36">GompCov(B36,0)</f>
        <v>0.406250000000003</v>
      </c>
      <c r="D36" cm="1">
        <f t="array" ref="D36">GompMSkew(B36,0)</f>
        <v>-0.30698914637660907</v>
      </c>
      <c r="E36" cm="1">
        <f t="array" ref="E36">GompMKurt(B36,0)</f>
        <v>-0.51160311152107063</v>
      </c>
      <c r="G36">
        <f t="shared" si="2"/>
        <v>0.203125</v>
      </c>
      <c r="H36" cm="1">
        <f t="array" ref="H36">GompEtafromGini(G36)</f>
        <v>3.1773091244110742E-2</v>
      </c>
      <c r="I36" cm="1">
        <f t="array" ref="I36">GompLSkew(H36,0)</f>
        <v>-0.10154890961020425</v>
      </c>
      <c r="J36" cm="1">
        <f t="array" ref="J36">GompLKurt(H36,0)</f>
        <v>0.10423898443772095</v>
      </c>
      <c r="M36">
        <f t="shared" si="6"/>
        <v>0.23999999999999996</v>
      </c>
      <c r="N36" cm="1">
        <f t="array" ref="N36">LocationList8(N$8,$M36,1)</f>
        <v>1.4271163556401458</v>
      </c>
      <c r="O36" cm="1">
        <f t="array" ref="O36">LocationList8(O$8,$M36,1)</f>
        <v>1.357924014860459</v>
      </c>
      <c r="P36" cm="1">
        <f t="array" ref="P36">LocationList8(P$8,$M36,1)</f>
        <v>1.3550899641492675</v>
      </c>
      <c r="Q36" cm="1">
        <f t="array" ref="Q36">LocationList8(Q$8,$M36,1)</f>
        <v>1.3563103985512035</v>
      </c>
      <c r="R36" cm="1">
        <f t="array" ref="R36">LocationList8(R$8,$M36,1)</f>
        <v>1.3506377138900338</v>
      </c>
      <c r="S36" cm="1">
        <f t="array" ref="S36">LocationList8(S$8,$M36,1)</f>
        <v>1.3530235350746622</v>
      </c>
      <c r="T36" cm="1">
        <f t="array" ref="T36">LocationList8(T$8,$M36,1)</f>
        <v>1.3681633567024691</v>
      </c>
      <c r="U36" cm="1">
        <f t="array" ref="U36">LocationList8(U$8,$M36,1)</f>
        <v>1.4059197686969738</v>
      </c>
      <c r="V36">
        <v>1.043089152073013</v>
      </c>
      <c r="W36">
        <v>0.99251599467866991</v>
      </c>
      <c r="X36">
        <v>0.99044456753708787</v>
      </c>
      <c r="Y36">
        <v>0.99133659142879438</v>
      </c>
      <c r="Z36">
        <v>0.98719038722490315</v>
      </c>
      <c r="AA36">
        <v>0.98893420032510104</v>
      </c>
      <c r="AB36">
        <v>1</v>
      </c>
      <c r="AC36">
        <v>1.0275964210045099</v>
      </c>
      <c r="AE36" cm="1">
        <f t="array" ref="AE36">criticaleta(AF36,AG36)</f>
        <v>0.1450876275288806</v>
      </c>
      <c r="AF36">
        <v>6</v>
      </c>
      <c r="AG36">
        <v>8</v>
      </c>
      <c r="AI36">
        <f t="shared" si="5"/>
        <v>27</v>
      </c>
      <c r="AJ36">
        <f t="shared" si="0"/>
        <v>0.30997851478538219</v>
      </c>
      <c r="AK36" t="str" cm="1">
        <f t="array" ref="AK36">INDEX($N$9:$U$9,1,VLOOKUP(AJ36,CriticalPointList,2,FALSE))</f>
        <v>esm3</v>
      </c>
      <c r="AL36" t="str" cm="1">
        <f t="array" ref="AL36">INDEX($N$9:$U$9,1,VLOOKUP(AJ36,CriticalPointList,3,FALSE))</f>
        <v>mh2</v>
      </c>
      <c r="AM36" cm="1">
        <f t="array" ref="AM36">GompGini(AJ36,0)</f>
        <v>0.3247654719331628</v>
      </c>
      <c r="AN36" cm="1">
        <f t="array" ref="AN36">GompCov(AJ36,0)</f>
        <v>0.56752807648885417</v>
      </c>
    </row>
    <row r="37" spans="1:40" x14ac:dyDescent="0.3">
      <c r="A37">
        <f t="shared" si="1"/>
        <v>0.421875</v>
      </c>
      <c r="B37" cm="1">
        <f t="array" ref="B37">GompEtafromCoV(A37)</f>
        <v>7.070002916595354E-2</v>
      </c>
      <c r="C37" cm="1">
        <f t="array" ref="C37">GompCov(B37,0)</f>
        <v>0.42187499999999495</v>
      </c>
      <c r="D37" cm="1">
        <f t="array" ref="D37">GompMSkew(B37,0)</f>
        <v>-0.25204013951087378</v>
      </c>
      <c r="E37" cm="1">
        <f t="array" ref="E37">GompMKurt(B37,0)</f>
        <v>-0.57373526226465477</v>
      </c>
      <c r="G37">
        <f t="shared" si="2"/>
        <v>0.2109375</v>
      </c>
      <c r="H37" cm="1">
        <f t="array" ref="H37">GompEtafromGini(G37)</f>
        <v>3.8037452607743355E-2</v>
      </c>
      <c r="I37" cm="1">
        <f t="array" ref="I37">GompLSkew(H37,0)</f>
        <v>-9.3655505677526577E-2</v>
      </c>
      <c r="J37" cm="1">
        <f t="array" ref="J37">GompLKurt(H37,0)</f>
        <v>0.10020959214658232</v>
      </c>
      <c r="M37">
        <f t="shared" si="6"/>
        <v>0.25999999999999995</v>
      </c>
      <c r="N37" cm="1">
        <f t="array" ref="N37">LocationList8(N$8,$M37,1)</f>
        <v>1.3470736479666094</v>
      </c>
      <c r="O37" cm="1">
        <f t="array" ref="O37">LocationList8(O$8,$M37,1)</f>
        <v>1.2990876999166296</v>
      </c>
      <c r="P37" cm="1">
        <f t="array" ref="P37">LocationList8(P$8,$M37,1)</f>
        <v>1.2983528284666308</v>
      </c>
      <c r="Q37" cm="1">
        <f t="array" ref="Q37">LocationList8(Q$8,$M37,1)</f>
        <v>1.3005592010477141</v>
      </c>
      <c r="R37" cm="1">
        <f t="array" ref="R37">LocationList8(R$8,$M37,1)</f>
        <v>1.2953069481319708</v>
      </c>
      <c r="S37" cm="1">
        <f t="array" ref="S37">LocationList8(S$8,$M37,1)</f>
        <v>1.2987381804047329</v>
      </c>
      <c r="T37" cm="1">
        <f t="array" ref="T37">LocationList8(T$8,$M37,1)</f>
        <v>1.3149428072581375</v>
      </c>
      <c r="U37" cm="1">
        <f t="array" ref="U37">LocationList8(U$8,$M37,1)</f>
        <v>1.358844516890485</v>
      </c>
      <c r="V37">
        <v>1.0244351621463064</v>
      </c>
      <c r="W37">
        <v>0.98794235973306832</v>
      </c>
      <c r="X37">
        <v>0.98738349782216051</v>
      </c>
      <c r="Y37">
        <v>0.98906142067089931</v>
      </c>
      <c r="Z37">
        <v>0.98506713826808134</v>
      </c>
      <c r="AA37">
        <v>0.98767655386686071</v>
      </c>
      <c r="AB37">
        <v>1</v>
      </c>
      <c r="AC37">
        <v>1.0333867825961871</v>
      </c>
      <c r="AE37" cm="1">
        <f t="array" ref="AE37">criticaleta(AF37,AG37)</f>
        <v>0.15542698151404011</v>
      </c>
      <c r="AF37">
        <v>7</v>
      </c>
      <c r="AG37">
        <v>8</v>
      </c>
      <c r="AI37">
        <f t="shared" si="5"/>
        <v>28</v>
      </c>
      <c r="AJ37">
        <f t="shared" si="0"/>
        <v>0.65622992670224689</v>
      </c>
      <c r="AK37" t="str" cm="1">
        <f t="array" ref="AK37">INDEX($N$9:$U$9,1,VLOOKUP(AJ37,CriticalPointList,2,FALSE))</f>
        <v>esm2</v>
      </c>
      <c r="AL37" t="str" cm="1">
        <f t="array" ref="AL37">INDEX($N$9:$U$9,1,VLOOKUP(AJ37,CriticalPointList,3,FALSE))</f>
        <v>mh2</v>
      </c>
      <c r="AM37" cm="1">
        <f t="array" ref="AM37">GompGini(AJ37,0)</f>
        <v>0.37006074624681584</v>
      </c>
      <c r="AN37" cm="1">
        <f t="array" ref="AN37">GompCov(AJ37,0)</f>
        <v>0.65407232690066319</v>
      </c>
    </row>
    <row r="38" spans="1:40" x14ac:dyDescent="0.3">
      <c r="A38">
        <f t="shared" si="1"/>
        <v>0.4375</v>
      </c>
      <c r="B38" cm="1">
        <f t="array" ref="B38">GompEtafromCoV(A38)</f>
        <v>8.468739717820524E-2</v>
      </c>
      <c r="C38" cm="1">
        <f t="array" ref="C38">GompCov(B38,0)</f>
        <v>0.4375000000000015</v>
      </c>
      <c r="D38" cm="1">
        <f t="array" ref="D38">GompMSkew(B38,0)</f>
        <v>-0.19738265362586696</v>
      </c>
      <c r="E38" cm="1">
        <f t="array" ref="E38">GompMKurt(B38,0)</f>
        <v>-0.6248029467902223</v>
      </c>
      <c r="G38">
        <f t="shared" si="2"/>
        <v>0.21875</v>
      </c>
      <c r="H38" cm="1">
        <f t="array" ref="H38">GompEtafromGini(G38)</f>
        <v>4.5196399065958993E-2</v>
      </c>
      <c r="I38" cm="1">
        <f t="array" ref="I38">GompLSkew(H38,0)</f>
        <v>-8.5442683378444975E-2</v>
      </c>
      <c r="J38" cm="1">
        <f t="array" ref="J38">GompLKurt(H38,0)</f>
        <v>9.6254246350872888E-2</v>
      </c>
      <c r="M38">
        <f t="shared" si="6"/>
        <v>0.27999999999999997</v>
      </c>
      <c r="N38" cm="1">
        <f t="array" ref="N38">LocationList8(N$8,$M38,1)</f>
        <v>1.2729656758128876</v>
      </c>
      <c r="O38" cm="1">
        <f t="array" ref="O38">LocationList8(O$8,$M38,1)</f>
        <v>1.2457457322844385</v>
      </c>
      <c r="P38" cm="1">
        <f t="array" ref="P38">LocationList8(P$8,$M38,1)</f>
        <v>1.2469214231578238</v>
      </c>
      <c r="Q38" cm="1">
        <f t="array" ref="Q38">LocationList8(Q$8,$M38,1)</f>
        <v>1.2500125466481735</v>
      </c>
      <c r="R38" cm="1">
        <f t="array" ref="R38">LocationList8(R$8,$M38,1)</f>
        <v>1.2451699092708775</v>
      </c>
      <c r="S38" cm="1">
        <f t="array" ref="S38">LocationList8(S$8,$M38,1)</f>
        <v>1.2495268985540853</v>
      </c>
      <c r="T38" cm="1">
        <f t="array" ref="T38">LocationList8(T$8,$M38,1)</f>
        <v>1.2666431518001475</v>
      </c>
      <c r="U38" cm="1">
        <f t="array" ref="U38">LocationList8(U$8,$M38,1)</f>
        <v>1.3159807231645821</v>
      </c>
      <c r="V38">
        <v>1.004991558990987</v>
      </c>
      <c r="W38">
        <v>0.98350173094449711</v>
      </c>
      <c r="X38">
        <v>0.98442992518114103</v>
      </c>
      <c r="Y38">
        <v>0.98687033113601197</v>
      </c>
      <c r="Z38">
        <v>0.98304712538906291</v>
      </c>
      <c r="AA38">
        <v>0.9864869176281128</v>
      </c>
      <c r="AB38">
        <v>1</v>
      </c>
      <c r="AC38">
        <v>1.0389514373439088</v>
      </c>
    </row>
    <row r="39" spans="1:40" x14ac:dyDescent="0.3">
      <c r="A39">
        <f t="shared" si="1"/>
        <v>0.453125</v>
      </c>
      <c r="B39" cm="1">
        <f t="array" ref="B39">GompEtafromCoV(A39)</f>
        <v>0.10075769105818454</v>
      </c>
      <c r="C39" cm="1">
        <f t="array" ref="C39">GompCov(B39,0)</f>
        <v>0.45312500000000022</v>
      </c>
      <c r="D39" cm="1">
        <f t="array" ref="D39">GompMSkew(B39,0)</f>
        <v>-0.14301453183626528</v>
      </c>
      <c r="E39" cm="1">
        <f t="array" ref="E39">GompMKurt(B39,0)</f>
        <v>-0.66523767260609534</v>
      </c>
      <c r="G39">
        <f t="shared" si="2"/>
        <v>0.2265625</v>
      </c>
      <c r="H39" cm="1">
        <f t="array" ref="H39">GompEtafromGini(G39)</f>
        <v>5.3347762977673338E-2</v>
      </c>
      <c r="I39" cm="1">
        <f t="array" ref="I39">GompLSkew(H39,0)</f>
        <v>-7.6928171212490001E-2</v>
      </c>
      <c r="J39" cm="1">
        <f t="array" ref="J39">GompLKurt(H39,0)</f>
        <v>9.2402735081373699E-2</v>
      </c>
      <c r="M39">
        <f t="shared" si="6"/>
        <v>0.3</v>
      </c>
      <c r="N39" cm="1">
        <f t="array" ref="N39">LocationList8(N$8,$M39,1)</f>
        <v>1.2039728043259361</v>
      </c>
      <c r="O39" cm="1">
        <f t="array" ref="O39">LocationList8(O$8,$M39,1)</f>
        <v>1.1970963964923074</v>
      </c>
      <c r="P39" cm="1">
        <f t="array" ref="P39">LocationList8(P$8,$M39,1)</f>
        <v>1.2000143037207378</v>
      </c>
      <c r="Q39" cm="1">
        <f t="array" ref="Q39">LocationList8(Q$8,$M39,1)</f>
        <v>1.2039018525419265</v>
      </c>
      <c r="R39" cm="1">
        <f t="array" ref="R39">LocationList8(R$8,$M39,1)</f>
        <v>1.1994549369919161</v>
      </c>
      <c r="S39" cm="1">
        <f t="array" ref="S39">LocationList8(S$8,$M39,1)</f>
        <v>1.2046344370606752</v>
      </c>
      <c r="T39" cm="1">
        <f t="array" ref="T39">LocationList8(T$8,$M39,1)</f>
        <v>1.2225356050805856</v>
      </c>
      <c r="U39" cm="1">
        <f t="array" ref="U39">LocationList8(U$8,$M39,1)</f>
        <v>1.2767061437387526</v>
      </c>
      <c r="V39">
        <v>0.98481614713100663</v>
      </c>
      <c r="W39">
        <v>0.97919143746606763</v>
      </c>
      <c r="X39">
        <v>0.98157820413061647</v>
      </c>
      <c r="Y39">
        <v>0.98475811055218243</v>
      </c>
      <c r="Z39">
        <v>0.98112065776019008</v>
      </c>
      <c r="AA39">
        <v>0.98535734423969568</v>
      </c>
      <c r="AB39">
        <v>1</v>
      </c>
      <c r="AC39">
        <v>1.0443099885459748</v>
      </c>
    </row>
    <row r="40" spans="1:40" x14ac:dyDescent="0.3">
      <c r="A40">
        <f t="shared" si="1"/>
        <v>0.46875</v>
      </c>
      <c r="B40" cm="1">
        <f t="array" ref="B40">GompEtafromCoV(A40)</f>
        <v>0.11915403366295176</v>
      </c>
      <c r="C40" cm="1">
        <f t="array" ref="C40">GompCov(B40,0)</f>
        <v>0.46875000000000039</v>
      </c>
      <c r="D40" cm="1">
        <f t="array" ref="D40">GompMSkew(B40,0)</f>
        <v>-8.8922648212104882E-2</v>
      </c>
      <c r="E40" cm="1">
        <f t="array" ref="E40">GompMKurt(B40,0)</f>
        <v>-0.69542529910134787</v>
      </c>
      <c r="G40">
        <f t="shared" si="2"/>
        <v>0.234375</v>
      </c>
      <c r="H40" cm="1">
        <f t="array" ref="H40">GompEtafromGini(G40)</f>
        <v>6.2600961758546292E-2</v>
      </c>
      <c r="I40" cm="1">
        <f t="array" ref="I40">GompLSkew(H40,0)</f>
        <v>-6.8128613712227601E-2</v>
      </c>
      <c r="J40" cm="1">
        <f t="array" ref="J40">GompLKurt(H40,0)</f>
        <v>8.8683013262867039E-2</v>
      </c>
      <c r="M40">
        <f t="shared" si="6"/>
        <v>0.32</v>
      </c>
      <c r="N40" cm="1">
        <f t="array" ref="N40">LocationList8(N$8,$M40,1)</f>
        <v>1.1394342831883648</v>
      </c>
      <c r="O40" cm="1">
        <f t="array" ref="O40">LocationList8(O$8,$M40,1)</f>
        <v>1.1524957896680592</v>
      </c>
      <c r="P40" cm="1">
        <f t="array" ref="P40">LocationList8(P$8,$M40,1)</f>
        <v>1.15700512139657</v>
      </c>
      <c r="Q40" cm="1">
        <f t="array" ref="Q40">LocationList8(Q$8,$M40,1)</f>
        <v>1.161611546346373</v>
      </c>
      <c r="R40" cm="1">
        <f t="array" ref="R40">LocationList8(R$8,$M40,1)</f>
        <v>1.1575445521248824</v>
      </c>
      <c r="S40" cm="1">
        <f t="array" ref="S40">LocationList8(S$8,$M40,1)</f>
        <v>1.1634570049178334</v>
      </c>
      <c r="T40" cm="1">
        <f t="array" ref="T40">LocationList8(T$8,$M40,1)</f>
        <v>1.1820372203292544</v>
      </c>
      <c r="U40" cm="1">
        <f t="array" ref="U40">LocationList8(U$8,$M40,1)</f>
        <v>1.2405236383473439</v>
      </c>
      <c r="V40">
        <v>0.96395804090752524</v>
      </c>
      <c r="W40">
        <v>0.97500803684255688</v>
      </c>
      <c r="X40">
        <v>0.97882291817705047</v>
      </c>
      <c r="Y40">
        <v>0.98271994009021824</v>
      </c>
      <c r="Z40">
        <v>0.97927927498124834</v>
      </c>
      <c r="AA40">
        <v>0.98428119259540281</v>
      </c>
      <c r="AB40">
        <v>1</v>
      </c>
      <c r="AC40">
        <v>1.0494793370396562</v>
      </c>
    </row>
    <row r="41" spans="1:40" x14ac:dyDescent="0.3">
      <c r="A41">
        <f t="shared" si="1"/>
        <v>0.484375</v>
      </c>
      <c r="B41" cm="1">
        <f t="array" ref="B41">GompEtafromCoV(A41)</f>
        <v>0.14014799210350828</v>
      </c>
      <c r="C41" cm="1">
        <f t="array" ref="C41">GompCov(B41,0)</f>
        <v>0.484375</v>
      </c>
      <c r="D41" cm="1">
        <f t="array" ref="D41">GompMSkew(B41,0)</f>
        <v>-3.5085189187980245E-2</v>
      </c>
      <c r="E41" cm="1">
        <f t="array" ref="E41">GompMKurt(B41,0)</f>
        <v>-0.71570274762025254</v>
      </c>
      <c r="G41">
        <f t="shared" si="2"/>
        <v>0.2421875</v>
      </c>
      <c r="H41" cm="1">
        <f t="array" ref="H41">GompEtafromGini(G41)</f>
        <v>7.3078883003230219E-2</v>
      </c>
      <c r="I41" cm="1">
        <f t="array" ref="I41">GompLSkew(H41,0)</f>
        <v>-5.9059594389016902E-2</v>
      </c>
      <c r="J41" cm="1">
        <f t="array" ref="J41">GompLKurt(H41,0)</f>
        <v>8.5121295752067727E-2</v>
      </c>
      <c r="M41">
        <f t="shared" si="6"/>
        <v>0.34</v>
      </c>
      <c r="N41" cm="1">
        <f t="array" ref="N41">LocationList8(N$8,$M41,1)</f>
        <v>1.0788096613719298</v>
      </c>
      <c r="O41" cm="1">
        <f t="array" ref="O41">LocationList8(O$8,$M41,1)</f>
        <v>1.1114193201211344</v>
      </c>
      <c r="P41" cm="1">
        <f t="array" ref="P41">LocationList8(P$8,$M41,1)</f>
        <v>1.1173845682022403</v>
      </c>
      <c r="Q41" cm="1">
        <f t="array" ref="Q41">LocationList8(Q$8,$M41,1)</f>
        <v>1.1226414274972454</v>
      </c>
      <c r="R41" cm="1">
        <f t="array" ref="R41">LocationList8(R$8,$M41,1)</f>
        <v>1.1189374756815487</v>
      </c>
      <c r="S41" cm="1">
        <f t="array" ref="S41">LocationList8(S$8,$M41,1)</f>
        <v>1.1255048173070481</v>
      </c>
      <c r="T41" cm="1">
        <f t="array" ref="T41">LocationList8(T$8,$M41,1)</f>
        <v>1.1446748391054364</v>
      </c>
      <c r="U41" cm="1">
        <f t="array" ref="U41">LocationList8(U$8,$M41,1)</f>
        <v>1.2070300617463241</v>
      </c>
      <c r="V41">
        <v>0.94245948676134061</v>
      </c>
      <c r="W41">
        <v>0.97094762822751379</v>
      </c>
      <c r="X41">
        <v>0.97615893180239421</v>
      </c>
      <c r="Y41">
        <v>0.9807513794699898</v>
      </c>
      <c r="Z41">
        <v>0.97751556813810858</v>
      </c>
      <c r="AA41">
        <v>0.98325286697716729</v>
      </c>
      <c r="AB41">
        <v>1</v>
      </c>
      <c r="AC41">
        <v>1.054474179488053</v>
      </c>
    </row>
    <row r="42" spans="1:40" x14ac:dyDescent="0.3">
      <c r="A42">
        <f t="shared" si="1"/>
        <v>0.5</v>
      </c>
      <c r="B42" cm="1">
        <f t="array" ref="B42">GompEtafromCoV(A42)</f>
        <v>0.16404407835999568</v>
      </c>
      <c r="C42" cm="1">
        <f t="array" ref="C42">GompCov(B42,0)</f>
        <v>0.49999999999999922</v>
      </c>
      <c r="D42" cm="1">
        <f t="array" ref="D42">GompMSkew(B42,0)</f>
        <v>1.8526572181904653E-2</v>
      </c>
      <c r="E42" cm="1">
        <f t="array" ref="E42">GompMKurt(B42,0)</f>
        <v>-0.72635631193261208</v>
      </c>
      <c r="G42">
        <f t="shared" si="2"/>
        <v>0.25</v>
      </c>
      <c r="H42" cm="1">
        <f t="array" ref="H42">GompEtafromGini(G42)</f>
        <v>8.4920117795934669E-2</v>
      </c>
      <c r="I42" cm="1">
        <f t="array" ref="I42">GompLSkew(H42,0)</f>
        <v>-4.9735673309733518E-2</v>
      </c>
      <c r="J42" cm="1">
        <f t="array" ref="J42">GompLKurt(H42,0)</f>
        <v>8.1742160102719674E-2</v>
      </c>
      <c r="M42">
        <f t="shared" si="6"/>
        <v>0.36000000000000004</v>
      </c>
      <c r="N42" cm="1">
        <f t="array" ref="N42">LocationList8(N$8,$M42,1)</f>
        <v>1.0216512475319812</v>
      </c>
      <c r="O42" cm="1">
        <f t="array" ref="O42">LocationList8(O$8,$M42,1)</f>
        <v>1.0734342435280724</v>
      </c>
      <c r="P42" cm="1">
        <f t="array" ref="P42">LocationList8(P$8,$M42,1)</f>
        <v>1.0807332717163454</v>
      </c>
      <c r="Q42" cm="1">
        <f t="array" ref="Q42">LocationList8(Q$8,$M42,1)</f>
        <v>1.0865798796992172</v>
      </c>
      <c r="R42" cm="1">
        <f t="array" ref="R42">LocationList8(R$8,$M42,1)</f>
        <v>1.0832215990090139</v>
      </c>
      <c r="S42" cm="1">
        <f t="array" ref="S42">LocationList8(S$8,$M42,1)</f>
        <v>1.0903754761983786</v>
      </c>
      <c r="T42" cm="1">
        <f t="array" ref="T42">LocationList8(T$8,$M42,1)</f>
        <v>1.1100594772516086</v>
      </c>
      <c r="U42" cm="1">
        <f t="array" ref="U42">LocationList8(U$8,$M42,1)</f>
        <v>1.1758942123030403</v>
      </c>
      <c r="V42">
        <v>0.92035721370667734</v>
      </c>
      <c r="W42">
        <v>0.96700606186056226</v>
      </c>
      <c r="X42">
        <v>0.97358141060344638</v>
      </c>
      <c r="Y42">
        <v>0.97884834278382593</v>
      </c>
      <c r="Z42">
        <v>0.97582302679038202</v>
      </c>
      <c r="AA42">
        <v>0.98226761587409217</v>
      </c>
      <c r="AB42">
        <v>1</v>
      </c>
      <c r="AC42">
        <v>1.0593073942438036</v>
      </c>
    </row>
    <row r="43" spans="1:40" x14ac:dyDescent="0.3">
      <c r="A43">
        <f t="shared" si="1"/>
        <v>0.515625</v>
      </c>
      <c r="B43" cm="1">
        <f t="array" ref="B43">GompEtafromCoV(A43)</f>
        <v>0.19118513242081694</v>
      </c>
      <c r="C43" cm="1">
        <f t="array" ref="C43">GompCov(B43,0)</f>
        <v>0.51562499999999356</v>
      </c>
      <c r="D43" cm="1">
        <f t="array" ref="D43">GompMSkew(B43,0)</f>
        <v>7.1946907183323403E-2</v>
      </c>
      <c r="E43" cm="1">
        <f t="array" ref="E43">GompMKurt(B43,0)</f>
        <v>-0.7276209469835353</v>
      </c>
      <c r="G43">
        <f t="shared" si="2"/>
        <v>0.2578125</v>
      </c>
      <c r="H43" cm="1">
        <f t="array" ref="H43">GompEtafromGini(G43)</f>
        <v>9.8281623116010741E-2</v>
      </c>
      <c r="I43" cm="1">
        <f t="array" ref="I43">GompLSkew(H43,0)</f>
        <v>-4.0170433519589467E-2</v>
      </c>
      <c r="J43" cm="1">
        <f t="array" ref="J43">GompLKurt(H43,0)</f>
        <v>7.8568653520970755E-2</v>
      </c>
      <c r="M43">
        <f t="shared" si="6"/>
        <v>0.38000000000000006</v>
      </c>
      <c r="N43" cm="1">
        <f t="array" ref="N43">LocationList8(N$8,$M43,1)</f>
        <v>0.96758402626170548</v>
      </c>
      <c r="O43" cm="1">
        <f t="array" ref="O43">LocationList8(O$8,$M43,1)</f>
        <v>1.0381796478475316</v>
      </c>
      <c r="P43" cm="1">
        <f t="array" ref="P43">LocationList8(P$8,$M43,1)</f>
        <v>1.0467020709691131</v>
      </c>
      <c r="Q43" cm="1">
        <f t="array" ref="Q43">LocationList8(Q$8,$M43,1)</f>
        <v>1.0530843927296014</v>
      </c>
      <c r="R43" cm="1">
        <f t="array" ref="R43">LocationList8(R$8,$M43,1)</f>
        <v>1.0500543325159981</v>
      </c>
      <c r="S43" cm="1">
        <f t="array" ref="S43">LocationList8(S$8,$M43,1)</f>
        <v>1.0577346423679739</v>
      </c>
      <c r="T43" cm="1">
        <f t="array" ref="T43">LocationList8(T$8,$M43,1)</f>
        <v>1.0778677290826728</v>
      </c>
      <c r="U43" cm="1">
        <f t="array" ref="U43">LocationList8(U$8,$M43,1)</f>
        <v>1.146840856122767</v>
      </c>
      <c r="V43">
        <v>0.89768345424458984</v>
      </c>
      <c r="W43">
        <v>0.96317908017441245</v>
      </c>
      <c r="X43">
        <v>0.97108582317416303</v>
      </c>
      <c r="Y43">
        <v>0.97700707082661853</v>
      </c>
      <c r="Z43">
        <v>0.97419590937160216</v>
      </c>
      <c r="AA43">
        <v>0.98132137536779829</v>
      </c>
      <c r="AB43">
        <v>1</v>
      </c>
      <c r="AC43">
        <v>1.0639903442501188</v>
      </c>
    </row>
    <row r="44" spans="1:40" x14ac:dyDescent="0.3">
      <c r="A44">
        <f t="shared" si="1"/>
        <v>0.53125</v>
      </c>
      <c r="B44" cm="1">
        <f t="array" ref="B44">GompEtafromCoV(A44)</f>
        <v>0.22195879401201007</v>
      </c>
      <c r="C44" cm="1">
        <f t="array" ref="C44">GompCov(B44,0)</f>
        <v>0.53125000000000566</v>
      </c>
      <c r="D44" cm="1">
        <f t="array" ref="D44">GompMSkew(B44,0)</f>
        <v>0.12521458677937558</v>
      </c>
      <c r="E44" cm="1">
        <f t="array" ref="E44">GompMKurt(B44,0)</f>
        <v>-0.71968009126607735</v>
      </c>
      <c r="G44">
        <f t="shared" si="2"/>
        <v>0.265625</v>
      </c>
      <c r="H44" cm="1">
        <f t="array" ref="H44">GompEtafromGini(G44)</f>
        <v>0.11334191573049442</v>
      </c>
      <c r="I44" cm="1">
        <f t="array" ref="I44">GompLSkew(H44,0)</f>
        <v>-3.0376532225233802E-2</v>
      </c>
      <c r="J44" cm="1">
        <f t="array" ref="J44">GompLKurt(H44,0)</f>
        <v>7.5622400278142085E-2</v>
      </c>
      <c r="M44">
        <f t="shared" si="6"/>
        <v>0.40000000000000008</v>
      </c>
      <c r="N44" cm="1">
        <f t="array" ref="N44">LocationList8(N$8,$M44,1)</f>
        <v>0.91629073187415488</v>
      </c>
      <c r="O44" cm="1">
        <f t="array" ref="O44">LocationList8(O$8,$M44,1)</f>
        <v>1.005351589422955</v>
      </c>
      <c r="P44" cm="1">
        <f t="array" ref="P44">LocationList8(P$8,$M44,1)</f>
        <v>1.0149973907857608</v>
      </c>
      <c r="Q44" cm="1">
        <f t="array" ref="Q44">LocationList8(Q$8,$M44,1)</f>
        <v>1.0218671296189257</v>
      </c>
      <c r="R44" cm="1">
        <f t="array" ref="R44">LocationList8(R$8,$M44,1)</f>
        <v>1.0191480483161626</v>
      </c>
      <c r="S44" cm="1">
        <f t="array" ref="S44">LocationList8(S$8,$M44,1)</f>
        <v>1.0273017347675366</v>
      </c>
      <c r="T44" cm="1">
        <f t="array" ref="T44">LocationList8(T$8,$M44,1)</f>
        <v>1.0478280084560063</v>
      </c>
      <c r="U44" cm="1">
        <f t="array" ref="U44">LocationList8(U$8,$M44,1)</f>
        <v>1.119638928764465</v>
      </c>
      <c r="V44">
        <v>0.87446672973012618</v>
      </c>
      <c r="W44">
        <v>0.95946241301982271</v>
      </c>
      <c r="X44">
        <v>0.96866793270908835</v>
      </c>
      <c r="Y44">
        <v>0.97522410297532081</v>
      </c>
      <c r="Z44">
        <v>0.97262913387655647</v>
      </c>
      <c r="AA44">
        <v>0.98041064609571227</v>
      </c>
      <c r="AB44">
        <v>1</v>
      </c>
      <c r="AC44">
        <v>1.0685331177721364</v>
      </c>
    </row>
    <row r="45" spans="1:40" x14ac:dyDescent="0.3">
      <c r="A45">
        <f t="shared" si="1"/>
        <v>0.546875</v>
      </c>
      <c r="B45" cm="1">
        <f t="array" ref="B45">GompEtafromCoV(A45)</f>
        <v>0.25680532597329553</v>
      </c>
      <c r="C45" cm="1">
        <f t="array" ref="C45">GompCov(B45,0)</f>
        <v>0.54687500000000389</v>
      </c>
      <c r="D45" cm="1">
        <f t="array" ref="D45">GompMSkew(B45,0)</f>
        <v>0.17837209762821868</v>
      </c>
      <c r="E45" cm="1">
        <f t="array" ref="E45">GompMKurt(B45,0)</f>
        <v>-0.70266570268066664</v>
      </c>
      <c r="G45">
        <f t="shared" si="2"/>
        <v>0.2734375</v>
      </c>
      <c r="H45" cm="1">
        <f t="array" ref="H45">GompEtafromGini(G45)</f>
        <v>0.13030492816135858</v>
      </c>
      <c r="I45" cm="1">
        <f t="array" ref="I45">GompLSkew(H45,0)</f>
        <v>-2.0365753883261197E-2</v>
      </c>
      <c r="J45" cm="1">
        <f t="array" ref="J45">GompLKurt(H45,0)</f>
        <v>7.2923707139252739E-2</v>
      </c>
    </row>
    <row r="46" spans="1:40" x14ac:dyDescent="0.3">
      <c r="A46">
        <f t="shared" si="1"/>
        <v>0.5625</v>
      </c>
      <c r="B46" cm="1">
        <f t="array" ref="B46">GompEtafromCoV(A46)</f>
        <v>0.29622712765583359</v>
      </c>
      <c r="C46" cm="1">
        <f t="array" ref="C46">GompCov(B46,0)</f>
        <v>0.56249999999999967</v>
      </c>
      <c r="D46" cm="1">
        <f t="array" ref="D46">GompMSkew(B46,0)</f>
        <v>0.23146506889815452</v>
      </c>
      <c r="E46" cm="1">
        <f t="array" ref="E46">GompMKurt(B46,0)</f>
        <v>-0.67665827389553335</v>
      </c>
      <c r="G46">
        <f t="shared" si="2"/>
        <v>0.28125</v>
      </c>
      <c r="H46" cm="1">
        <f t="array" ref="H46">GompEtafromGini(G46)</f>
        <v>0.14940469462644917</v>
      </c>
      <c r="I46" cm="1">
        <f t="array" ref="I46">GompLSkew(H46,0)</f>
        <v>-1.0149063227818621E-2</v>
      </c>
      <c r="J46" cm="1">
        <f t="array" ref="J46">GompLKurt(H46,0)</f>
        <v>7.0491665286765579E-2</v>
      </c>
    </row>
    <row r="47" spans="1:40" x14ac:dyDescent="0.3">
      <c r="A47">
        <f t="shared" si="1"/>
        <v>0.578125</v>
      </c>
      <c r="B47" cm="1">
        <f t="array" ref="B47">GompEtafromCoV(A47)</f>
        <v>0.34080037715949202</v>
      </c>
      <c r="C47" cm="1">
        <f t="array" ref="C47">GompCov(B47,0)</f>
        <v>0.578125000000005</v>
      </c>
      <c r="D47" cm="1">
        <f t="array" ref="D47">GompMSkew(B47,0)</f>
        <v>0.28454187109448714</v>
      </c>
      <c r="E47" cm="1">
        <f t="array" ref="E47">GompMKurt(B47,0)</f>
        <v>-0.64168665143939085</v>
      </c>
      <c r="G47">
        <f t="shared" si="2"/>
        <v>0.2890625</v>
      </c>
      <c r="H47" cm="1">
        <f t="array" ref="H47">GompEtafromGini(G47)</f>
        <v>0.17091108466834523</v>
      </c>
      <c r="I47" cm="1">
        <f t="array" ref="I47">GompLSkew(H47,0)</f>
        <v>2.6334309280635898E-4</v>
      </c>
      <c r="J47" cm="1">
        <f t="array" ref="J47">GompLKurt(H47,0)</f>
        <v>6.8344247871852656E-2</v>
      </c>
    </row>
    <row r="48" spans="1:40" x14ac:dyDescent="0.3">
      <c r="A48">
        <f t="shared" si="1"/>
        <v>0.59375</v>
      </c>
      <c r="B48" cm="1">
        <f t="array" ref="B48">GompEtafromCoV(A48)</f>
        <v>0.39118937647210744</v>
      </c>
      <c r="C48" cm="1">
        <f t="array" ref="C48">GompCov(B48,0)</f>
        <v>0.59374999999999978</v>
      </c>
      <c r="D48" cm="1">
        <f t="array" ref="D48">GompMSkew(B48,0)</f>
        <v>0.33765335704333221</v>
      </c>
      <c r="E48" cm="1">
        <f t="array" ref="E48">GompMKurt(B48,0)</f>
        <v>-0.59772752039355814</v>
      </c>
      <c r="G48">
        <f t="shared" si="2"/>
        <v>0.296875</v>
      </c>
      <c r="H48" cm="1">
        <f t="array" ref="H48">GompEtafromGini(G48)</f>
        <v>0.19513686931888638</v>
      </c>
      <c r="I48" cm="1">
        <f t="array" ref="I48">GompLSkew(H48,0)</f>
        <v>1.0861987146757204E-2</v>
      </c>
      <c r="J48" cm="1">
        <f t="array" ref="J48">GompLKurt(H48,0)</f>
        <v>6.6498402787418892E-2</v>
      </c>
    </row>
    <row r="49" spans="1:33" x14ac:dyDescent="0.3">
      <c r="A49">
        <f t="shared" si="1"/>
        <v>0.609375</v>
      </c>
      <c r="B49" cm="1">
        <f t="array" ref="B49">GompEtafromCoV(A49)</f>
        <v>0.44816435754829798</v>
      </c>
      <c r="C49" cm="1">
        <f t="array" ref="C49">GompCov(B49,0)</f>
        <v>0.60937499999999578</v>
      </c>
      <c r="D49" cm="1">
        <f t="array" ref="D49">GompMSkew(B49,0)</f>
        <v>0.39085272240485375</v>
      </c>
      <c r="E49" cm="1">
        <f t="array" ref="E49">GompMKurt(B49,0)</f>
        <v>-0.54470443871491259</v>
      </c>
      <c r="G49">
        <f t="shared" si="2"/>
        <v>0.3046875</v>
      </c>
      <c r="H49" cm="1">
        <f t="array" ref="H49">GompEtafromGini(G49)</f>
        <v>0.22244649604190025</v>
      </c>
      <c r="I49" cm="1">
        <f t="array" ref="I49">GompLSkew(H49,0)</f>
        <v>2.1638063173405855E-2</v>
      </c>
      <c r="J49" cm="1">
        <f t="array" ref="J49">GompLKurt(H49,0)</f>
        <v>6.4970140582422134E-2</v>
      </c>
    </row>
    <row r="50" spans="1:33" x14ac:dyDescent="0.3">
      <c r="A50">
        <f t="shared" si="1"/>
        <v>0.625</v>
      </c>
      <c r="B50" cm="1">
        <f t="array" ref="B50">GompEtafromCoV(A50)</f>
        <v>0.51262376038795776</v>
      </c>
      <c r="C50" cm="1">
        <f t="array" ref="C50">GompCov(B50,0)</f>
        <v>0.62500000000000133</v>
      </c>
      <c r="D50" cm="1">
        <f t="array" ref="D50">GompMSkew(B50,0)</f>
        <v>0.44419546900347767</v>
      </c>
      <c r="E50" cm="1">
        <f t="array" ref="E50">GompMKurt(B50,0)</f>
        <v>-0.48248631531496727</v>
      </c>
      <c r="G50">
        <f t="shared" si="2"/>
        <v>0.3125</v>
      </c>
      <c r="H50" cm="1">
        <f t="array" ref="H50">GompEtafromGini(G50)</f>
        <v>0.25326707447489943</v>
      </c>
      <c r="I50" cm="1">
        <f t="array" ref="I50">GompLSkew(H50,0)</f>
        <v>3.2583394197733241E-2</v>
      </c>
      <c r="J50" cm="1">
        <f t="array" ref="J50">GompLKurt(H50,0)</f>
        <v>6.3774617666729871E-2</v>
      </c>
    </row>
    <row r="51" spans="1:33" x14ac:dyDescent="0.3">
      <c r="A51">
        <f t="shared" si="1"/>
        <v>0.640625</v>
      </c>
      <c r="B51" cm="1">
        <f t="array" ref="B51">GompEtafromCoV(A51)</f>
        <v>0.58562234628361942</v>
      </c>
      <c r="C51" cm="1">
        <f t="array" ref="C51">GompCov(B51,0)</f>
        <v>0.64062500000000233</v>
      </c>
      <c r="D51" cm="1">
        <f t="array" ref="D51">GompMSkew(B51,0)</f>
        <v>0.49773945919177703</v>
      </c>
      <c r="E51" cm="1">
        <f t="array" ref="E51">GompMKurt(B51,0)</f>
        <v>-0.41088522616372741</v>
      </c>
      <c r="G51">
        <f t="shared" si="2"/>
        <v>0.3203125</v>
      </c>
      <c r="H51" cm="1">
        <f t="array" ref="H51">GompEtafromGini(G51)</f>
        <v>0.28810225012590285</v>
      </c>
      <c r="I51" cm="1">
        <f t="array" ref="I51">GompLSkew(H51,0)</f>
        <v>4.3690391990002277E-2</v>
      </c>
      <c r="J51" cm="1">
        <f t="array" ref="J51">GompLKurt(H51,0)</f>
        <v>6.2926215120013743E-2</v>
      </c>
      <c r="AG51" s="4"/>
    </row>
    <row r="52" spans="1:33" x14ac:dyDescent="0.3">
      <c r="A52">
        <f t="shared" si="1"/>
        <v>0.65625</v>
      </c>
      <c r="B52" cm="1">
        <f t="array" ref="B52">GompEtafromCoV(A52)</f>
        <v>0.66840700565956068</v>
      </c>
      <c r="C52" cm="1">
        <f t="array" ref="C52">GompCov(B52,0)</f>
        <v>0.65624999999999911</v>
      </c>
      <c r="D52" cm="1">
        <f t="array" ref="D52">GompMSkew(B52,0)</f>
        <v>0.5515450536853389</v>
      </c>
      <c r="E52" cm="1">
        <f t="array" ref="E52">GompMKurt(B52,0)</f>
        <v>-0.32965345399174778</v>
      </c>
      <c r="G52">
        <f t="shared" si="2"/>
        <v>0.328125</v>
      </c>
      <c r="H52" cm="1">
        <f t="array" ref="H52">GompEtafromGini(G52)</f>
        <v>0.32754989014108143</v>
      </c>
      <c r="I52" cm="1">
        <f t="array" ref="I52">GompLSkew(H52,0)</f>
        <v>5.4952020459412089E-2</v>
      </c>
      <c r="J52" cm="1">
        <f t="array" ref="J52">GompLKurt(H52,0)</f>
        <v>6.2438613537972615E-2</v>
      </c>
    </row>
    <row r="53" spans="1:33" x14ac:dyDescent="0.3">
      <c r="A53">
        <f t="shared" si="1"/>
        <v>0.671875</v>
      </c>
      <c r="B53" cm="1">
        <f t="array" ref="B53">GompEtafromCoV(A53)</f>
        <v>0.76246282899126017</v>
      </c>
      <c r="C53" cm="1">
        <f t="array" ref="C53">GompCov(B53,0)</f>
        <v>0.67187500000000067</v>
      </c>
      <c r="D53" cm="1">
        <f t="array" ref="D53">GompMSkew(B53,0)</f>
        <v>0.6056753290498571</v>
      </c>
      <c r="E53" cm="1">
        <f t="array" ref="E53">GompMKurt(B53,0)</f>
        <v>-0.23847961983802463</v>
      </c>
      <c r="G53">
        <f t="shared" si="2"/>
        <v>0.3359375</v>
      </c>
      <c r="H53" cm="1">
        <f t="array" ref="H53">GompEtafromGini(G53)</f>
        <v>0.37232485829316436</v>
      </c>
      <c r="I53" cm="1">
        <f t="array" ref="I53">GompLSkew(H53,0)</f>
        <v>6.6361762513665712E-2</v>
      </c>
      <c r="J53" cm="1">
        <f t="array" ref="J53">GompLKurt(H53,0)</f>
        <v>6.2324864443195259E-2</v>
      </c>
    </row>
    <row r="54" spans="1:33" x14ac:dyDescent="0.3">
      <c r="A54">
        <f t="shared" si="1"/>
        <v>0.6875</v>
      </c>
      <c r="B54" cm="1">
        <f t="array" ref="B54">GompEtafromCoV(A54)</f>
        <v>0.86957303761955629</v>
      </c>
      <c r="C54" cm="1">
        <f t="array" ref="C54">GompCov(B54,0)</f>
        <v>0.68750000000000089</v>
      </c>
      <c r="D54" cm="1">
        <f t="array" ref="D54">GompMSkew(B54,0)</f>
        <v>0.66019637450920476</v>
      </c>
      <c r="E54" cm="1">
        <f t="array" ref="E54">GompMKurt(B54,0)</f>
        <v>-0.1369837481138157</v>
      </c>
      <c r="G54">
        <f t="shared" si="2"/>
        <v>0.34375</v>
      </c>
      <c r="H54" cm="1">
        <f t="array" ref="H54">GompEtafromGini(G54)</f>
        <v>0.42328866855431302</v>
      </c>
      <c r="I54" cm="1">
        <f t="array" ref="I54">GompLSkew(H54,0)</f>
        <v>7.7913590389551535E-2</v>
      </c>
      <c r="J54" cm="1">
        <f t="array" ref="J54">GompLKurt(H54,0)</f>
        <v>6.2597458867922173E-2</v>
      </c>
    </row>
    <row r="55" spans="1:33" x14ac:dyDescent="0.3">
      <c r="A55">
        <f t="shared" si="1"/>
        <v>0.703125</v>
      </c>
      <c r="B55" cm="1">
        <f t="array" ref="B55">GompEtafromCoV(A55)</f>
        <v>0.99189788694355319</v>
      </c>
      <c r="C55" cm="1">
        <f t="array" ref="C55">GompCov(B55,0)</f>
        <v>0.70312500000001044</v>
      </c>
      <c r="D55" cm="1">
        <f t="array" ref="D55">GompMSkew(B55,0)</f>
        <v>0.71517767117964715</v>
      </c>
      <c r="E55" cm="1">
        <f t="array" ref="E55">GompMKurt(B55,0)</f>
        <v>-2.4711069552455105E-2</v>
      </c>
      <c r="G55">
        <f t="shared" si="2"/>
        <v>0.3515625</v>
      </c>
      <c r="H55" cm="1">
        <f t="array" ref="H55">GompEtafromGini(G55)</f>
        <v>0.48148856188949035</v>
      </c>
      <c r="I55" cm="1">
        <f t="array" ref="I55">GompLSkew(H55,0)</f>
        <v>8.9601939457834748E-2</v>
      </c>
      <c r="J55" cm="1">
        <f t="array" ref="J55">GompLKurt(H55,0)</f>
        <v>6.3268393794100181E-2</v>
      </c>
    </row>
    <row r="56" spans="1:33" x14ac:dyDescent="0.3">
      <c r="A56">
        <f t="shared" si="1"/>
        <v>0.71875</v>
      </c>
      <c r="B56" cm="1">
        <f t="array" ref="B56">GompEtafromCoV(A56)</f>
        <v>1.1320799283113143</v>
      </c>
      <c r="C56" cm="1">
        <f t="array" ref="C56">GompCov(B56,0)</f>
        <v>0.71874999999999667</v>
      </c>
      <c r="D56" cm="1">
        <f t="array" ref="D56">GompMSkew(B56,0)</f>
        <v>0.77069256042659218</v>
      </c>
      <c r="E56" cm="1">
        <f t="array" ref="E56">GompMKurt(B56,0)</f>
        <v>9.887568423778284E-2</v>
      </c>
      <c r="G56">
        <f t="shared" si="2"/>
        <v>0.359375</v>
      </c>
      <c r="H56" cm="1">
        <f t="array" ref="H56">GompEtafromGini(G56)</f>
        <v>0.54820968441353068</v>
      </c>
      <c r="I56" cm="1">
        <f t="array" ref="I56">GompLSkew(H56,0)</f>
        <v>0.10142168552442272</v>
      </c>
      <c r="J56" cm="1">
        <f t="array" ref="J56">GompLKurt(H56,0)</f>
        <v>6.4349237224419084E-2</v>
      </c>
    </row>
    <row r="57" spans="1:33" x14ac:dyDescent="0.3">
      <c r="A57">
        <f t="shared" si="1"/>
        <v>0.734375</v>
      </c>
      <c r="B57" cm="1">
        <f t="array" ref="B57">GompEtafromCoV(A57)</f>
        <v>1.2933864940269861</v>
      </c>
      <c r="C57" cm="1">
        <f t="array" ref="C57">GompCov(B57,0)</f>
        <v>0.73437499999999345</v>
      </c>
      <c r="D57" cm="1">
        <f t="array" ref="D57">GompMSkew(B57,0)</f>
        <v>0.82681881203551744</v>
      </c>
      <c r="E57" cm="1">
        <f t="array" ref="E57">GompMKurt(B57,0)</f>
        <v>0.23440580879004189</v>
      </c>
      <c r="G57">
        <f t="shared" si="2"/>
        <v>0.3671875</v>
      </c>
      <c r="H57" cm="1">
        <f t="array" ref="H57">GompEtafromGini(G57)</f>
        <v>0.6250457795129859</v>
      </c>
      <c r="I57" cm="1">
        <f t="array" ref="I57">GompLSkew(H57,0)</f>
        <v>0.11336812568897486</v>
      </c>
      <c r="J57" cm="1">
        <f t="array" ref="J57">GompLKurt(H57,0)</f>
        <v>6.5851192759285082E-2</v>
      </c>
    </row>
    <row r="58" spans="1:33" x14ac:dyDescent="0.3">
      <c r="A58">
        <f t="shared" si="1"/>
        <v>0.75</v>
      </c>
      <c r="B58" cm="1">
        <f t="array" ref="B58">GompEtafromCoV(A58)</f>
        <v>1.4799057050688307</v>
      </c>
      <c r="C58" cm="1">
        <f t="array" ref="C58">GompCov(B58,0)</f>
        <v>0.75000000000000921</v>
      </c>
      <c r="D58" cm="1">
        <f t="array" ref="D58">GompMSkew(B58,0)</f>
        <v>0.88363930757049547</v>
      </c>
      <c r="E58" cm="1">
        <f t="array" ref="E58">GompMKurt(B58,0)</f>
        <v>0.38261238248560137</v>
      </c>
      <c r="G58">
        <f t="shared" si="2"/>
        <v>0.375</v>
      </c>
      <c r="H58" cm="1">
        <f t="array" ref="H58">GompEtafromGini(G58)</f>
        <v>0.71399651785432439</v>
      </c>
      <c r="I58" cm="1">
        <f t="array" ref="I58">GompLSkew(H58,0)</f>
        <v>0.12543696288173264</v>
      </c>
      <c r="J58" cm="1">
        <f t="array" ref="J58">GompLKurt(H58,0)</f>
        <v>6.7785164700878142E-2</v>
      </c>
    </row>
    <row r="59" spans="1:33" x14ac:dyDescent="0.3">
      <c r="A59">
        <f t="shared" si="1"/>
        <v>0.765625</v>
      </c>
      <c r="B59" cm="1">
        <f t="array" ref="B59">GompEtafromCoV(A59)</f>
        <v>1.6968209983516502</v>
      </c>
      <c r="C59" cm="1">
        <f t="array" ref="C59">GompCov(B59,0)</f>
        <v>0.765625000000006</v>
      </c>
      <c r="D59" cm="1">
        <f t="array" ref="D59">GompMSkew(B59,0)</f>
        <v>0.94124286003056523</v>
      </c>
      <c r="E59" cm="1">
        <f t="array" ref="E59">GompMKurt(B59,0)</f>
        <v>0.54434677786818308</v>
      </c>
      <c r="G59">
        <f t="shared" si="2"/>
        <v>0.3828125</v>
      </c>
      <c r="H59" cm="1">
        <f t="array" ref="H59">GompEtafromGini(G59)</f>
        <v>0.81760392914253766</v>
      </c>
      <c r="I59" cm="1">
        <f t="array" ref="I59">GompLSkew(H59,0)</f>
        <v>0.13762429428382014</v>
      </c>
      <c r="J59" cm="1">
        <f t="array" ref="J59">GompLKurt(H59,0)</f>
        <v>7.0161824881210783E-2</v>
      </c>
    </row>
    <row r="60" spans="1:33" x14ac:dyDescent="0.3">
      <c r="A60">
        <f t="shared" si="1"/>
        <v>0.78125</v>
      </c>
      <c r="B60" cm="1">
        <f t="array" ref="B60">GompEtafromCoV(A60)</f>
        <v>1.9508034600556812</v>
      </c>
      <c r="C60" cm="1">
        <f t="array" ref="C60">GompCov(B60,0)</f>
        <v>0.78124999999998901</v>
      </c>
      <c r="D60" cm="1">
        <f t="array" ref="D60">GompMSkew(B60,0)</f>
        <v>0.99972519823149653</v>
      </c>
      <c r="E60" cm="1">
        <f t="array" ref="E60">GompMKurt(B60,0)</f>
        <v>0.72059662337184627</v>
      </c>
      <c r="G60">
        <f t="shared" si="2"/>
        <v>0.390625</v>
      </c>
      <c r="H60" cm="1">
        <f t="array" ref="H60">GompEtafromGini(G60)</f>
        <v>0.93914753215148095</v>
      </c>
      <c r="I60" cm="1">
        <f t="array" ref="I60">GompLSkew(H60,0)</f>
        <v>0.14992660395279886</v>
      </c>
      <c r="J60" cm="1">
        <f t="array" ref="J60">GompLKurt(H60,0)</f>
        <v>7.2991682674338074E-2</v>
      </c>
    </row>
    <row r="61" spans="1:33" x14ac:dyDescent="0.3">
      <c r="A61">
        <f t="shared" si="1"/>
        <v>0.796875</v>
      </c>
      <c r="B61" cm="1">
        <f t="array" ref="B61">GompEtafromCoV(A61)</f>
        <v>2.2505854361480706</v>
      </c>
      <c r="C61" cm="1">
        <f t="array" ref="C61">GompCov(B61,0)</f>
        <v>0.79687500000005318</v>
      </c>
      <c r="D61" cm="1">
        <f t="array" ref="D61">GompMSkew(B61,0)</f>
        <v>1.0591901539007156</v>
      </c>
      <c r="E61" cm="1">
        <f t="array" ref="E61">GompMKurt(B61,0)</f>
        <v>0.91250814064025376</v>
      </c>
      <c r="G61">
        <f t="shared" si="2"/>
        <v>0.3984375</v>
      </c>
      <c r="H61" cm="1">
        <f t="array" ref="H61">GompEtafromGini(G61)</f>
        <v>1.0829298344259835</v>
      </c>
      <c r="I61" cm="1">
        <f t="array" ref="I61">GompLSkew(H61,0)</f>
        <v>0.16234076013213983</v>
      </c>
      <c r="J61" cm="1">
        <f t="array" ref="J61">GompLKurt(H61,0)</f>
        <v>7.6285160003102995E-2</v>
      </c>
    </row>
    <row r="62" spans="1:33" x14ac:dyDescent="0.3">
      <c r="A62">
        <f t="shared" si="1"/>
        <v>0.8125</v>
      </c>
      <c r="B62" cm="1">
        <f t="array" ref="B62">GompEtafromCoV(A62)</f>
        <v>2.6078212174191866</v>
      </c>
      <c r="C62" cm="1">
        <f t="array" ref="C62">GompCov(B62,0)</f>
        <v>0.8125000000000675</v>
      </c>
      <c r="D62" cm="1">
        <f t="array" ref="D62">GompMSkew(B62,0)</f>
        <v>1.1197511024098288</v>
      </c>
      <c r="E62" cm="1">
        <f t="array" ref="E62">GompMKurt(B62,0)</f>
        <v>1.1214141040389216</v>
      </c>
      <c r="G62">
        <f t="shared" si="2"/>
        <v>0.40625</v>
      </c>
      <c r="H62" cm="1">
        <f t="array" ref="H62">GompEtafromGini(G62)</f>
        <v>1.2547050108095616</v>
      </c>
      <c r="I62" cm="1">
        <f t="array" ref="I62">GompLSkew(H62,0)</f>
        <v>0.17486401794479423</v>
      </c>
      <c r="J62" cm="1">
        <f t="array" ref="J62">GompLKurt(H62,0)</f>
        <v>8.0052673649436953E-2</v>
      </c>
    </row>
    <row r="63" spans="1:33" x14ac:dyDescent="0.3">
      <c r="A63">
        <f t="shared" si="1"/>
        <v>0.828125</v>
      </c>
      <c r="B63" cm="1">
        <f t="array" ref="B63">GompEtafromCoV(A63)</f>
        <v>3.0384175579591668</v>
      </c>
      <c r="C63" cm="1">
        <f t="array" ref="C63">GompCov(B63,0)</f>
        <v>0.82812500000010769</v>
      </c>
      <c r="D63" cm="1">
        <f t="array" ref="D63">GompMSkew(B63,0)</f>
        <v>1.1815327257612924</v>
      </c>
      <c r="E63" cm="1">
        <f t="array" ref="E63">GompMKurt(B63,0)</f>
        <v>1.3488691268603612</v>
      </c>
      <c r="G63">
        <f t="shared" si="2"/>
        <v>0.4140625</v>
      </c>
      <c r="H63" cm="1">
        <f t="array" ref="H63">GompEtafromGini(G63)</f>
        <v>1.4623420130826847</v>
      </c>
      <c r="I63" cm="1">
        <f t="array" ref="I63">GompLSkew(H63,0)</f>
        <v>0.18749402847339278</v>
      </c>
      <c r="J63" cm="1">
        <f t="array" ref="J63">GompLKurt(H63,0)</f>
        <v>8.430472793555556E-2</v>
      </c>
    </row>
    <row r="64" spans="1:33" x14ac:dyDescent="0.3">
      <c r="A64">
        <f t="shared" si="1"/>
        <v>0.84375</v>
      </c>
      <c r="B64" cm="1">
        <f t="array" ref="B64">GompEtafromCoV(A64)</f>
        <v>3.5646630208511323</v>
      </c>
      <c r="C64" cm="1">
        <f t="array" ref="C64">GompCov(B64,0)</f>
        <v>0.84374999999967359</v>
      </c>
      <c r="D64" cm="1">
        <f t="array" ref="D64">GompMSkew(B64,0)</f>
        <v>1.2446731914344433</v>
      </c>
      <c r="E64" cm="1">
        <f t="array" ref="E64">GompMKurt(B64,0)</f>
        <v>1.596694641521291</v>
      </c>
      <c r="G64">
        <f t="shared" si="2"/>
        <v>0.421875</v>
      </c>
      <c r="H64" cm="1">
        <f t="array" ref="H64">GompEtafromGini(G64)</f>
        <v>1.7168864231965359</v>
      </c>
      <c r="I64" cm="1">
        <f t="array" ref="I64">GompLSkew(H64,0)</f>
        <v>0.20022885568082996</v>
      </c>
      <c r="J64" cm="1">
        <f t="array" ref="J64">GompLKurt(H64,0)</f>
        <v>8.9052021678612356E-2</v>
      </c>
    </row>
    <row r="65" spans="1:10" x14ac:dyDescent="0.3">
      <c r="A65">
        <f t="shared" si="1"/>
        <v>0.859375</v>
      </c>
      <c r="B65" cm="1">
        <f t="array" ref="B65">GompEtafromCoV(A65)</f>
        <v>4.2187776275379454</v>
      </c>
      <c r="C65" cm="1">
        <f t="array" ref="C65">GompCov(B65,0)</f>
        <v>0.85937499999764588</v>
      </c>
      <c r="D65" cm="1">
        <f t="array" ref="D65">GompMSkew(B65,0)</f>
        <v>1.3093268766188018</v>
      </c>
      <c r="E65" cm="1">
        <f t="array" ref="E65">GompMKurt(B65,0)</f>
        <v>1.8670369099816528</v>
      </c>
      <c r="G65">
        <f t="shared" si="2"/>
        <v>0.4296875</v>
      </c>
      <c r="H65" cm="1">
        <f t="array" ref="H65">GompEtafromGini(G65)</f>
        <v>2.0343315146239944</v>
      </c>
      <c r="I65" cm="1">
        <f t="array" ref="I65">GompLSkew(H65,0)</f>
        <v>0.21306700325820019</v>
      </c>
      <c r="J65" cm="1">
        <f t="array" ref="J65">GompLKurt(H65,0)</f>
        <v>9.4305575647136569E-2</v>
      </c>
    </row>
    <row r="66" spans="1:10" x14ac:dyDescent="0.3">
      <c r="A66">
        <f t="shared" si="1"/>
        <v>0.875</v>
      </c>
      <c r="B66" cm="1">
        <f t="array" ref="B66">GompEtafromCoV(A66)</f>
        <v>5.0491258352649764</v>
      </c>
      <c r="C66" cm="1">
        <f t="array" ref="C66">GompCov(B66,0)</f>
        <v>0.87499999999532152</v>
      </c>
      <c r="D66" cm="1">
        <f t="array" ref="D66">GompMSkew(B66,0)</f>
        <v>1.3756678206602175</v>
      </c>
      <c r="E66" cm="1">
        <f t="array" ref="E66">GompMKurt(B66,0)</f>
        <v>2.1624428847335966</v>
      </c>
      <c r="G66">
        <f t="shared" si="2"/>
        <v>0.4375</v>
      </c>
      <c r="H66" cm="1">
        <f t="array" ref="H66">GompEtafromGini(G66)</f>
        <v>2.4387196169699776</v>
      </c>
      <c r="I66" cm="1">
        <f t="array" ref="I66">GompLSkew(H66,0)</f>
        <v>0.22600745447805246</v>
      </c>
      <c r="J66" cm="1">
        <f t="array" ref="J66">GompLKurt(H66,0)</f>
        <v>0.10007688817577358</v>
      </c>
    </row>
    <row r="67" spans="1:10" x14ac:dyDescent="0.3">
      <c r="A67">
        <f t="shared" si="1"/>
        <v>0.890625</v>
      </c>
      <c r="B67" cm="1">
        <f t="array" ref="B67">GompEtafromCoV(A67)</f>
        <v>6.1317565903593119</v>
      </c>
      <c r="C67" cm="1">
        <f t="array" ref="C67">GompCov(B67,0)</f>
        <v>0.89062500001668932</v>
      </c>
      <c r="D67" cm="1">
        <f t="array" ref="D67">GompMSkew(B67,0)</f>
        <v>1.4438941682877218</v>
      </c>
      <c r="E67" cm="1">
        <f t="array" ref="E67">GompMKurt(B67,0)</f>
        <v>2.4859608347167796</v>
      </c>
      <c r="G67">
        <f t="shared" si="2"/>
        <v>0.4453125</v>
      </c>
      <c r="H67" cm="1">
        <f t="array" ref="H67">GompEtafromGini(G67)</f>
        <v>2.9679050005488139</v>
      </c>
      <c r="I67" cm="1">
        <f t="array" ref="I67">GompLSkew(H67,0)</f>
        <v>0.23904972991789444</v>
      </c>
      <c r="J67" cm="1">
        <f t="array" ref="J67">GompLKurt(H67,0)</f>
        <v>0.10637812182344118</v>
      </c>
    </row>
    <row r="68" spans="1:10" x14ac:dyDescent="0.3">
      <c r="A68">
        <f t="shared" si="1"/>
        <v>0.90625</v>
      </c>
      <c r="B68" cm="1">
        <f t="array" ref="B68">GompEtafromCoV(A68)</f>
        <v>7.593486075389805</v>
      </c>
      <c r="C68" cm="1">
        <f t="array" ref="C68">GompCov(B68,0)</f>
        <v>0.90625000000000056</v>
      </c>
      <c r="D68" cm="1">
        <f t="array" ref="D68">GompMSkew(B68,0)</f>
        <v>1.5142339818147332</v>
      </c>
      <c r="E68" cm="1">
        <f t="array" ref="E68">GompMKurt(B68,0)</f>
        <v>2.8412783145310776</v>
      </c>
      <c r="G68">
        <f t="shared" si="2"/>
        <v>0.453125</v>
      </c>
      <c r="H68" cm="1">
        <f t="array" ref="H68">GompEtafromGini(G68)</f>
        <v>3.6850850259023873</v>
      </c>
      <c r="I68" cm="1">
        <f t="array" ref="I68">GompLSkew(H68,0)</f>
        <v>0.25219397007662364</v>
      </c>
      <c r="J68" cm="1">
        <f t="array" ref="J68">GompLKurt(H68,0)</f>
        <v>0.11322239190063275</v>
      </c>
    </row>
    <row r="69" spans="1:10" x14ac:dyDescent="0.3">
      <c r="A69">
        <f t="shared" si="1"/>
        <v>0.921875</v>
      </c>
      <c r="B69" cm="1">
        <f t="array" ref="B69">GompEtafromCoV(A69)</f>
        <v>9.6626840827411602</v>
      </c>
      <c r="C69" cm="1">
        <f t="array" ref="C69">GompCov(B69,0)</f>
        <v>0.92187499999999822</v>
      </c>
      <c r="D69" cm="1">
        <f t="array" ref="D69">GompMSkew(B69,0)</f>
        <v>1.5869529826896829</v>
      </c>
      <c r="E69" cm="1">
        <f t="array" ref="E69">GompMKurt(B69,0)</f>
        <v>3.2329094860398784</v>
      </c>
      <c r="G69">
        <f t="shared" si="2"/>
        <v>0.4609375</v>
      </c>
      <c r="H69" cm="1">
        <f t="array" ref="H69">GompEtafromGini(G69)</f>
        <v>4.7041782578838172</v>
      </c>
      <c r="I69" cm="1">
        <f t="array" ref="I69">GompLSkew(H69,0)</f>
        <v>0.26544104952998415</v>
      </c>
      <c r="J69" cm="1">
        <f t="array" ref="J69">GompLKurt(H69,0)</f>
        <v>0.1206240135041264</v>
      </c>
    </row>
    <row r="70" spans="1:10" x14ac:dyDescent="0.3">
      <c r="A70">
        <f t="shared" si="1"/>
        <v>0.9375</v>
      </c>
      <c r="B70" cm="1">
        <f t="array" ref="B70">GompEtafromCoV(A70)</f>
        <v>12.796248265098841</v>
      </c>
      <c r="C70" cm="1">
        <f t="array" ref="C70">GompCov(B70,0)</f>
        <v>0.93749999999999933</v>
      </c>
      <c r="D70" cm="1">
        <f t="array" ref="D70">GompMSkew(B70,0)</f>
        <v>1.6623653211261791</v>
      </c>
      <c r="E70" cm="1">
        <f t="array" ref="E70">GompMKurt(B70,0)</f>
        <v>3.6664646378087968</v>
      </c>
      <c r="G70">
        <f t="shared" si="2"/>
        <v>0.46875</v>
      </c>
      <c r="H70" cm="1">
        <f t="array" ref="H70">GompEtafromGini(G70)</f>
        <v>6.2532881883112017</v>
      </c>
      <c r="I70" cm="1">
        <f t="array" ref="I70">GompLSkew(H70,0)</f>
        <v>0.27879275596809333</v>
      </c>
      <c r="J70" cm="1">
        <f t="array" ref="J70">GompLKurt(H70,0)</f>
        <v>0.12859909745909048</v>
      </c>
    </row>
    <row r="71" spans="1:10" x14ac:dyDescent="0.3">
      <c r="A71">
        <f t="shared" si="1"/>
        <v>0.953125</v>
      </c>
      <c r="B71" cm="1">
        <f t="array" ref="B71">GompEtafromCoV(A71)</f>
        <v>18.060541788548598</v>
      </c>
      <c r="C71" cm="1">
        <f t="array" ref="C71">GompCov(B71,0)</f>
        <v>0.95312499999999223</v>
      </c>
      <c r="D71" cm="1">
        <f t="array" ref="D71">GompMSkew(B71,0)</f>
        <v>1.7408484626142378</v>
      </c>
      <c r="E71" cm="1">
        <f t="array" ref="E71">GompMKurt(B71,0)</f>
        <v>4.1490473642046277</v>
      </c>
      <c r="G71">
        <f t="shared" si="2"/>
        <v>0.4765625</v>
      </c>
      <c r="H71" cm="1">
        <f t="array" ref="H71">GompEtafromGini(G71)</f>
        <v>8.8651347378355823</v>
      </c>
      <c r="I71" cm="1">
        <f t="array" ref="I71">GompLSkew(H71,0)</f>
        <v>0.29225204903245422</v>
      </c>
      <c r="J71" cm="1">
        <f t="array" ref="J71">GompLKurt(H71,0)</f>
        <v>0.13716612433626871</v>
      </c>
    </row>
    <row r="72" spans="1:10" x14ac:dyDescent="0.3">
      <c r="A72">
        <f t="shared" si="1"/>
        <v>0.96875</v>
      </c>
      <c r="B72" cm="1">
        <f t="array" ref="B72">GompEtafromCoV(A72)</f>
        <v>28.655181136518788</v>
      </c>
      <c r="C72" cm="1">
        <f t="array" ref="C72">GompCov(B72,0)</f>
        <v>0.96875000000000633</v>
      </c>
      <c r="D72" cm="1">
        <f t="array" ref="D72">GompMSkew(B72,0)</f>
        <v>1.8228652191718451</v>
      </c>
      <c r="E72" cm="1">
        <f t="array" ref="E72">GompMKurt(B72,0)</f>
        <v>4.6898583968518315</v>
      </c>
      <c r="G72">
        <f t="shared" si="2"/>
        <v>0.484375</v>
      </c>
      <c r="H72" cm="1">
        <f t="array" ref="H72">GompEtafromGini(G72)</f>
        <v>14.138883323279344</v>
      </c>
      <c r="I72" cm="1">
        <f t="array" ref="I72">GompLSkew(H72,0)</f>
        <v>0.30582346325906273</v>
      </c>
      <c r="J72" cm="1">
        <f t="array" ref="J72">GompLKurt(H72,0)</f>
        <v>0.14634701477141696</v>
      </c>
    </row>
    <row r="73" spans="1:10" x14ac:dyDescent="0.3">
      <c r="A73">
        <f t="shared" si="1"/>
        <v>0.984375</v>
      </c>
      <c r="B73" cm="1">
        <f t="array" ref="B73">GompEtafromCoV(A73)</f>
        <v>60.57966838481493</v>
      </c>
      <c r="C73" cm="1">
        <f t="array" ref="C73">GompCov(B73,0)</f>
        <v>0.98437500000000278</v>
      </c>
      <c r="D73" cm="1">
        <f t="array" ref="D73">GompMSkew(B73,0)</f>
        <v>1.9089973305016492</v>
      </c>
      <c r="E73" cm="1">
        <f t="array" ref="E73">GompMKurt(B73,0)</f>
        <v>5.3011693861850508</v>
      </c>
      <c r="G73">
        <f t="shared" si="2"/>
        <v>0.4921875</v>
      </c>
      <c r="H73" cm="1">
        <f t="array" ref="H73">GompEtafromGini(G73)</f>
        <v>30.073340113378109</v>
      </c>
      <c r="I73" cm="1">
        <f t="array" ref="I73">GompLSkew(H73,0)</f>
        <v>0.3195137929257823</v>
      </c>
      <c r="J73" cm="1">
        <f t="array" ref="J73">GompLKurt(H73,0)</f>
        <v>0.1561688064635256</v>
      </c>
    </row>
    <row r="74" spans="1:10" x14ac:dyDescent="0.3">
      <c r="A74">
        <f t="shared" si="1"/>
        <v>1</v>
      </c>
      <c r="D74">
        <v>2</v>
      </c>
      <c r="E74">
        <v>6</v>
      </c>
      <c r="G74">
        <f t="shared" si="2"/>
        <v>0.5</v>
      </c>
      <c r="I74">
        <f>1/3</f>
        <v>0.33333333333333331</v>
      </c>
      <c r="J74">
        <f>1/6</f>
        <v>0.16666666666666666</v>
      </c>
    </row>
    <row r="76" spans="1:10" x14ac:dyDescent="0.3">
      <c r="G76" t="s">
        <v>27</v>
      </c>
    </row>
    <row r="77" spans="1:10" x14ac:dyDescent="0.3">
      <c r="G77">
        <v>0.05</v>
      </c>
      <c r="H77" cm="1">
        <f t="array" ref="H77">GompEtafromGini(G77)</f>
        <v>5.3553104502450314E-7</v>
      </c>
      <c r="I77" cm="1">
        <f t="array" ref="I77">GompMean(H77,0)</f>
        <v>13.862799269423896</v>
      </c>
    </row>
    <row r="78" spans="1:10" x14ac:dyDescent="0.3">
      <c r="G78">
        <f>G77+0.05</f>
        <v>0.1</v>
      </c>
      <c r="H78" cm="1">
        <f t="array" ref="H78">GompEtafromGini(G78)</f>
        <v>5.7166271121797017E-4</v>
      </c>
      <c r="I78" cm="1">
        <f t="array" ref="I78">GompMean(H78,0)</f>
        <v>6.8942573858970633</v>
      </c>
    </row>
    <row r="79" spans="1:10" x14ac:dyDescent="0.3">
      <c r="G79">
        <f t="shared" ref="G79:G85" si="7">G78+0.05</f>
        <v>0.15000000000000002</v>
      </c>
      <c r="H79" cm="1">
        <f t="array" ref="H79">GompEtafromGini(G79)</f>
        <v>6.9200593091658181E-3</v>
      </c>
      <c r="I79" cm="1">
        <f t="array" ref="I79">GompMean(H79,0)</f>
        <v>4.4335982304948898</v>
      </c>
    </row>
    <row r="80" spans="1:10" x14ac:dyDescent="0.3">
      <c r="G80">
        <f t="shared" si="7"/>
        <v>0.2</v>
      </c>
      <c r="H80" cm="1">
        <f t="array" ref="H80">GompEtafromGini(G80)</f>
        <v>2.9497849504849512E-2</v>
      </c>
      <c r="I80" cm="1">
        <f t="array" ref="I80">GompMean(H80,0)</f>
        <v>3.064582307616571</v>
      </c>
    </row>
    <row r="81" spans="7:9" x14ac:dyDescent="0.3">
      <c r="G81">
        <f t="shared" si="7"/>
        <v>0.25</v>
      </c>
      <c r="H81" cm="1">
        <f t="array" ref="H81">GompEtafromGini(G81)</f>
        <v>8.4920117795934669E-2</v>
      </c>
      <c r="I81" cm="1">
        <f t="array" ref="I81">GompMean(H81,0)</f>
        <v>2.1467560668880212</v>
      </c>
    </row>
    <row r="82" spans="7:9" x14ac:dyDescent="0.3">
      <c r="G82">
        <f t="shared" si="7"/>
        <v>0.3</v>
      </c>
      <c r="H82" cm="1">
        <f t="array" ref="H82">GompEtafromGini(G82)</f>
        <v>0.20566827837030077</v>
      </c>
      <c r="I82" cm="1">
        <f t="array" ref="I82">GompMean(H82,0)</f>
        <v>1.4738105676544926</v>
      </c>
    </row>
    <row r="83" spans="7:9" x14ac:dyDescent="0.3">
      <c r="G83">
        <f t="shared" si="7"/>
        <v>0.35</v>
      </c>
      <c r="H83" cm="1">
        <f t="array" ref="H83">GompEtafromGini(G83)</f>
        <v>0.4692119398528819</v>
      </c>
      <c r="I83" cm="1">
        <f t="array" ref="I83">GompMean(H83,0)</f>
        <v>0.95752432346236105</v>
      </c>
    </row>
    <row r="84" spans="7:9" x14ac:dyDescent="0.3">
      <c r="G84">
        <f t="shared" si="7"/>
        <v>0.39999999999999997</v>
      </c>
      <c r="H84" cm="1">
        <f t="array" ref="H84">GompEtafromGini(G84)</f>
        <v>1.1148293399881442</v>
      </c>
      <c r="I84" cm="1">
        <f t="array" ref="I84">GompMean(H84,0)</f>
        <v>0.55360399339705535</v>
      </c>
    </row>
    <row r="85" spans="7:9" x14ac:dyDescent="0.3">
      <c r="G85">
        <f t="shared" si="7"/>
        <v>0.44999999999999996</v>
      </c>
      <c r="H85" cm="1">
        <f t="array" ref="H85">GompEtafromGini(G85)</f>
        <v>3.369960975122682</v>
      </c>
      <c r="I85" cm="1">
        <f t="array" ref="I85">GompMean(H85,0)</f>
        <v>0.23819143128790016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F227E-7992-4586-B895-DCE9BD83B55D}">
  <sheetPr codeName="Sheet2"/>
  <dimension ref="A1:BC162"/>
  <sheetViews>
    <sheetView topLeftCell="A106" workbookViewId="0">
      <selection activeCell="A2" sqref="A2"/>
    </sheetView>
  </sheetViews>
  <sheetFormatPr defaultRowHeight="14.4" x14ac:dyDescent="0.3"/>
  <cols>
    <col min="21" max="21" width="9.88671875" customWidth="1"/>
    <col min="27" max="27" width="11" bestFit="1" customWidth="1"/>
    <col min="33" max="33" width="9.44140625" customWidth="1"/>
    <col min="37" max="37" width="9.6640625" customWidth="1"/>
  </cols>
  <sheetData>
    <row r="1" spans="1:55" x14ac:dyDescent="0.3">
      <c r="A1" s="1" t="s">
        <v>104</v>
      </c>
    </row>
    <row r="2" spans="1:55" x14ac:dyDescent="0.3">
      <c r="A2" t="s">
        <v>63</v>
      </c>
    </row>
    <row r="6" spans="1:55" x14ac:dyDescent="0.3">
      <c r="C6" t="s">
        <v>74</v>
      </c>
      <c r="I6" t="s">
        <v>81</v>
      </c>
      <c r="O6" t="s">
        <v>75</v>
      </c>
      <c r="U6" t="s">
        <v>77</v>
      </c>
      <c r="AA6" t="s">
        <v>79</v>
      </c>
      <c r="AG6" t="s">
        <v>82</v>
      </c>
      <c r="AM6" t="s">
        <v>86</v>
      </c>
      <c r="AS6" t="s">
        <v>87</v>
      </c>
      <c r="AY6" t="s">
        <v>88</v>
      </c>
    </row>
    <row r="7" spans="1:55" x14ac:dyDescent="0.3">
      <c r="C7" t="s">
        <v>65</v>
      </c>
      <c r="G7" t="s">
        <v>66</v>
      </c>
      <c r="I7" t="s">
        <v>65</v>
      </c>
      <c r="M7" t="s">
        <v>66</v>
      </c>
      <c r="O7" t="s">
        <v>65</v>
      </c>
      <c r="S7" t="str">
        <f>G7</f>
        <v>Period table</v>
      </c>
      <c r="U7" t="s">
        <v>65</v>
      </c>
      <c r="Y7" t="str">
        <f>S7</f>
        <v>Period table</v>
      </c>
      <c r="AA7" t="s">
        <v>65</v>
      </c>
      <c r="AE7" t="str">
        <f>Y7</f>
        <v>Period table</v>
      </c>
      <c r="AG7" t="s">
        <v>65</v>
      </c>
      <c r="AK7" t="str">
        <f>AE7</f>
        <v>Period table</v>
      </c>
      <c r="AM7" t="s">
        <v>65</v>
      </c>
      <c r="AQ7" t="str">
        <f>AK7</f>
        <v>Period table</v>
      </c>
      <c r="AS7" t="s">
        <v>65</v>
      </c>
      <c r="AW7" t="str">
        <f>AQ7</f>
        <v>Period table</v>
      </c>
      <c r="AY7" t="s">
        <v>65</v>
      </c>
      <c r="BC7" t="str">
        <f>AW7</f>
        <v>Period table</v>
      </c>
    </row>
    <row r="8" spans="1:55" x14ac:dyDescent="0.3">
      <c r="C8">
        <v>1965</v>
      </c>
      <c r="D8">
        <v>1985</v>
      </c>
      <c r="E8">
        <v>2005</v>
      </c>
      <c r="F8">
        <v>2025</v>
      </c>
      <c r="G8">
        <v>2025</v>
      </c>
      <c r="I8">
        <v>1965</v>
      </c>
      <c r="J8">
        <v>1985</v>
      </c>
      <c r="K8">
        <v>2005</v>
      </c>
      <c r="L8">
        <v>2025</v>
      </c>
      <c r="M8">
        <v>2025</v>
      </c>
      <c r="O8">
        <f>C8</f>
        <v>1965</v>
      </c>
      <c r="P8">
        <f>D8</f>
        <v>1985</v>
      </c>
      <c r="Q8">
        <f>E8</f>
        <v>2005</v>
      </c>
      <c r="R8">
        <f>F8</f>
        <v>2025</v>
      </c>
      <c r="S8">
        <f>G8</f>
        <v>2025</v>
      </c>
      <c r="U8">
        <f>O8</f>
        <v>1965</v>
      </c>
      <c r="V8">
        <f>P8</f>
        <v>1985</v>
      </c>
      <c r="W8">
        <f>Q8</f>
        <v>2005</v>
      </c>
      <c r="X8">
        <f>R8</f>
        <v>2025</v>
      </c>
      <c r="Y8">
        <f>S8</f>
        <v>2025</v>
      </c>
      <c r="AA8">
        <f>U8</f>
        <v>1965</v>
      </c>
      <c r="AB8">
        <f>V8</f>
        <v>1985</v>
      </c>
      <c r="AC8">
        <f>W8</f>
        <v>2005</v>
      </c>
      <c r="AD8">
        <f>X8</f>
        <v>2025</v>
      </c>
      <c r="AE8">
        <f>Y8</f>
        <v>2025</v>
      </c>
      <c r="AG8">
        <f>AA8</f>
        <v>1965</v>
      </c>
      <c r="AH8">
        <f>AB8</f>
        <v>1985</v>
      </c>
      <c r="AI8">
        <f>AC8</f>
        <v>2005</v>
      </c>
      <c r="AJ8">
        <f>AD8</f>
        <v>2025</v>
      </c>
      <c r="AK8">
        <f>AE8</f>
        <v>2025</v>
      </c>
      <c r="AM8">
        <f>AG8</f>
        <v>1965</v>
      </c>
      <c r="AN8">
        <f>AH8</f>
        <v>1985</v>
      </c>
      <c r="AO8">
        <f>AI8</f>
        <v>2005</v>
      </c>
      <c r="AP8">
        <f>AJ8</f>
        <v>2025</v>
      </c>
      <c r="AQ8">
        <f>AK8</f>
        <v>2025</v>
      </c>
      <c r="AS8">
        <f>AM8</f>
        <v>1965</v>
      </c>
      <c r="AT8">
        <f>AN8</f>
        <v>1985</v>
      </c>
      <c r="AU8">
        <f>AO8</f>
        <v>2005</v>
      </c>
      <c r="AV8">
        <f>AP8</f>
        <v>2025</v>
      </c>
      <c r="AW8">
        <f>AQ8</f>
        <v>2025</v>
      </c>
      <c r="AY8">
        <f>AS8</f>
        <v>1965</v>
      </c>
      <c r="AZ8">
        <f>AT8</f>
        <v>1985</v>
      </c>
      <c r="BA8">
        <f>AU8</f>
        <v>2005</v>
      </c>
      <c r="BB8">
        <f>AV8</f>
        <v>2025</v>
      </c>
      <c r="BC8">
        <f>AW8</f>
        <v>2025</v>
      </c>
    </row>
    <row r="9" spans="1:55" x14ac:dyDescent="0.3">
      <c r="A9" t="s">
        <v>64</v>
      </c>
    </row>
    <row r="10" spans="1:55" x14ac:dyDescent="0.3">
      <c r="A10">
        <v>0</v>
      </c>
      <c r="C10" s="7"/>
      <c r="D10" s="7"/>
      <c r="E10" s="7"/>
      <c r="F10" s="7">
        <v>100000</v>
      </c>
      <c r="G10" s="7">
        <v>100000</v>
      </c>
      <c r="R10">
        <f t="shared" ref="R10:S73" si="0">F10</f>
        <v>100000</v>
      </c>
      <c r="S10">
        <f t="shared" si="0"/>
        <v>100000</v>
      </c>
      <c r="X10">
        <f t="shared" ref="X10:X73" si="1">X11+0.5*R10+0.5*R11</f>
        <v>9294127.7923752312</v>
      </c>
      <c r="Y10">
        <f t="shared" ref="Y10:Y73" si="2">Y11+0.5*S10+0.5*S11</f>
        <v>8045760.5137331747</v>
      </c>
      <c r="AD10">
        <f t="shared" ref="AD10:AD73" si="3">AD11+(R10^2+R10*R11+R11^2)/3</f>
        <v>875623391988.2168</v>
      </c>
      <c r="AE10">
        <f t="shared" ref="AE10:AE73" si="4">AE11+(S10^2+S10*S11+S11^2)/3</f>
        <v>738512722532.12903</v>
      </c>
      <c r="AJ10">
        <f t="shared" ref="AG10:AJ73" si="5">AJ11+X11+(R10+2*R11)/6</f>
        <v>438639377.61632943</v>
      </c>
      <c r="AK10">
        <f>AK11+Y11+(S10+2*S11)/6</f>
        <v>331892329.16835386</v>
      </c>
      <c r="AP10">
        <f t="shared" ref="AP10:AP73" si="6">X10/R10</f>
        <v>92.94127792375231</v>
      </c>
      <c r="AQ10">
        <f>Y10/S10</f>
        <v>80.45760513733174</v>
      </c>
      <c r="AV10">
        <f t="shared" ref="AV10:AV73" si="7">1-AD10/R10/X10</f>
        <v>5.787459399195527E-2</v>
      </c>
      <c r="AW10">
        <f>1-AE10/S10/Y10</f>
        <v>8.2109489498756627E-2</v>
      </c>
      <c r="BB10">
        <f t="shared" ref="BB10:BB73" si="8">SQRT(2*R10*AJ10/X10^2-1)</f>
        <v>0.12487787266533952</v>
      </c>
      <c r="BC10">
        <f>SQRT(2*S10*AK10/Y10^2-1)</f>
        <v>0.15937151259419685</v>
      </c>
    </row>
    <row r="11" spans="1:55" x14ac:dyDescent="0.3">
      <c r="A11">
        <f>A10+1</f>
        <v>1</v>
      </c>
      <c r="C11" s="7"/>
      <c r="D11" s="7"/>
      <c r="E11" s="7"/>
      <c r="F11" s="7">
        <v>99796.541455947197</v>
      </c>
      <c r="G11" s="7">
        <v>99796.541455947197</v>
      </c>
      <c r="L11">
        <f t="shared" ref="L11" si="9">LN(LN(F11/F12)/LN(F10/F11))</f>
        <v>-2.5340322555844481</v>
      </c>
      <c r="M11">
        <f>LN(LN(G11/G12)/LN(G10/G11))</f>
        <v>-2.4000247838423832</v>
      </c>
      <c r="R11">
        <f t="shared" si="0"/>
        <v>99796.541455947197</v>
      </c>
      <c r="S11">
        <f t="shared" si="0"/>
        <v>99796.541455947197</v>
      </c>
      <c r="X11">
        <f t="shared" si="1"/>
        <v>9194229.5216472577</v>
      </c>
      <c r="Y11">
        <f t="shared" si="2"/>
        <v>7945862.2430052012</v>
      </c>
      <c r="AD11">
        <f t="shared" si="3"/>
        <v>865643724044.16235</v>
      </c>
      <c r="AE11">
        <f t="shared" si="4"/>
        <v>728533054588.07458</v>
      </c>
      <c r="AJ11">
        <f t="shared" si="5"/>
        <v>429395215.91419685</v>
      </c>
      <c r="AK11">
        <f t="shared" ref="AK11:AK74" si="10">AK12+Y12+(S11+2*S12)/6</f>
        <v>323896534.74486333</v>
      </c>
      <c r="AP11">
        <f t="shared" si="6"/>
        <v>92.129741046244888</v>
      </c>
      <c r="AQ11">
        <f t="shared" ref="AQ11:AQ74" si="11">Y11/S11</f>
        <v>79.620617378937055</v>
      </c>
      <c r="AV11">
        <f t="shared" si="7"/>
        <v>5.6572887602959532E-2</v>
      </c>
      <c r="AW11">
        <f t="shared" ref="AW11:AW74" si="12">1-AE11/S11/Y11</f>
        <v>8.1259758920289471E-2</v>
      </c>
      <c r="BB11">
        <f t="shared" si="8"/>
        <v>0.11766916097597685</v>
      </c>
      <c r="BC11">
        <f t="shared" ref="BC11:BC74" si="13">SQRT(2*S11*AK11/Y11^2-1)</f>
        <v>0.15468911127601637</v>
      </c>
    </row>
    <row r="12" spans="1:55" x14ac:dyDescent="0.3">
      <c r="A12">
        <f t="shared" ref="A12:A75" si="14">A11+1</f>
        <v>2</v>
      </c>
      <c r="C12" s="7"/>
      <c r="D12" s="7"/>
      <c r="E12" s="7"/>
      <c r="F12" s="7">
        <v>99780.417103228421</v>
      </c>
      <c r="G12" s="7">
        <v>99778.105062669085</v>
      </c>
      <c r="L12">
        <f t="shared" ref="L12:L75" si="15">LN(LN(F12/F13)/LN(F11/F12))</f>
        <v>-0.71267716773392464</v>
      </c>
      <c r="M12">
        <f t="shared" ref="M12:M75" si="16">LN(LN(G12/G13)/LN(G11/G12))</f>
        <v>-0.45257408013139749</v>
      </c>
      <c r="R12">
        <f t="shared" si="0"/>
        <v>99780.417103228421</v>
      </c>
      <c r="S12">
        <f t="shared" si="0"/>
        <v>99778.105062669085</v>
      </c>
      <c r="X12">
        <f t="shared" si="1"/>
        <v>9094441.0423676707</v>
      </c>
      <c r="Y12">
        <f t="shared" si="2"/>
        <v>7846074.9197458932</v>
      </c>
      <c r="AD12">
        <f t="shared" si="3"/>
        <v>855685983425.56335</v>
      </c>
      <c r="AE12">
        <f t="shared" si="4"/>
        <v>718575544676.49182</v>
      </c>
      <c r="AJ12">
        <f t="shared" si="5"/>
        <v>420250881.97588539</v>
      </c>
      <c r="AK12">
        <f t="shared" si="10"/>
        <v>316000567.69985384</v>
      </c>
      <c r="AP12">
        <f t="shared" si="6"/>
        <v>91.14454826300198</v>
      </c>
      <c r="AQ12">
        <f t="shared" si="11"/>
        <v>78.635236806891598</v>
      </c>
      <c r="AV12">
        <f t="shared" si="7"/>
        <v>5.7040389386519341E-2</v>
      </c>
      <c r="AW12">
        <f t="shared" si="12"/>
        <v>8.2122487049700821E-2</v>
      </c>
      <c r="BB12">
        <f t="shared" si="8"/>
        <v>0.11826204301125634</v>
      </c>
      <c r="BC12">
        <f t="shared" si="13"/>
        <v>0.15604363331828208</v>
      </c>
    </row>
    <row r="13" spans="1:55" x14ac:dyDescent="0.3">
      <c r="A13">
        <f t="shared" si="14"/>
        <v>3</v>
      </c>
      <c r="C13" s="7"/>
      <c r="D13" s="7"/>
      <c r="E13" s="7"/>
      <c r="F13" s="7">
        <v>99772.511805413917</v>
      </c>
      <c r="G13" s="7">
        <v>99766.381492078755</v>
      </c>
      <c r="L13">
        <f t="shared" si="15"/>
        <v>-0.29213267311846641</v>
      </c>
      <c r="M13">
        <f t="shared" si="16"/>
        <v>-0.37305498913125507</v>
      </c>
      <c r="R13">
        <f t="shared" si="0"/>
        <v>99772.511805413917</v>
      </c>
      <c r="S13">
        <f t="shared" si="0"/>
        <v>99766.381492078755</v>
      </c>
      <c r="X13">
        <f t="shared" si="1"/>
        <v>8994664.5779133495</v>
      </c>
      <c r="Y13">
        <f t="shared" si="2"/>
        <v>7746302.6764685195</v>
      </c>
      <c r="AD13">
        <f t="shared" si="3"/>
        <v>845730640561.35107</v>
      </c>
      <c r="AE13">
        <f t="shared" si="4"/>
        <v>708621044136.43884</v>
      </c>
      <c r="AJ13">
        <f t="shared" si="5"/>
        <v>411206329.82451969</v>
      </c>
      <c r="AK13">
        <f t="shared" si="10"/>
        <v>308204379.87871087</v>
      </c>
      <c r="AP13">
        <f t="shared" si="6"/>
        <v>90.151730322833018</v>
      </c>
      <c r="AQ13">
        <f t="shared" si="11"/>
        <v>77.644418496661217</v>
      </c>
      <c r="AV13">
        <f t="shared" si="7"/>
        <v>5.7598026815030567E-2</v>
      </c>
      <c r="AW13">
        <f t="shared" si="12"/>
        <v>8.3071730795320819E-2</v>
      </c>
      <c r="BB13">
        <f t="shared" si="8"/>
        <v>0.11923370843552976</v>
      </c>
      <c r="BC13">
        <f t="shared" si="13"/>
        <v>0.15766720917073551</v>
      </c>
    </row>
    <row r="14" spans="1:55" x14ac:dyDescent="0.3">
      <c r="A14">
        <f t="shared" si="14"/>
        <v>4</v>
      </c>
      <c r="C14" s="7"/>
      <c r="D14" s="7"/>
      <c r="E14" s="7"/>
      <c r="F14" s="7">
        <v>99766.609569329157</v>
      </c>
      <c r="G14" s="7">
        <v>99758.309121456667</v>
      </c>
      <c r="L14">
        <f t="shared" si="15"/>
        <v>-8.5580046724382686E-2</v>
      </c>
      <c r="M14">
        <f t="shared" si="16"/>
        <v>-0.26342892148345931</v>
      </c>
      <c r="R14">
        <f t="shared" si="0"/>
        <v>99766.609569329157</v>
      </c>
      <c r="S14">
        <f t="shared" si="0"/>
        <v>99758.309121456667</v>
      </c>
      <c r="X14">
        <f t="shared" si="1"/>
        <v>8894895.017225977</v>
      </c>
      <c r="Y14">
        <f t="shared" si="2"/>
        <v>7646540.3311617523</v>
      </c>
      <c r="AD14">
        <f t="shared" si="3"/>
        <v>835776675318.6969</v>
      </c>
      <c r="AE14">
        <f t="shared" si="4"/>
        <v>698668518589.90186</v>
      </c>
      <c r="AJ14">
        <f t="shared" si="5"/>
        <v>402261550.51880306</v>
      </c>
      <c r="AK14">
        <f t="shared" si="10"/>
        <v>300507959.0475933</v>
      </c>
      <c r="AP14">
        <f t="shared" si="6"/>
        <v>89.157034158255072</v>
      </c>
      <c r="AQ14">
        <f t="shared" si="11"/>
        <v>76.650660967519187</v>
      </c>
      <c r="AV14">
        <f t="shared" si="7"/>
        <v>5.8188028419301152E-2</v>
      </c>
      <c r="AW14">
        <f t="shared" si="12"/>
        <v>8.4080907884353295E-2</v>
      </c>
      <c r="BB14">
        <f t="shared" si="8"/>
        <v>0.12031918190097506</v>
      </c>
      <c r="BC14">
        <f t="shared" si="13"/>
        <v>0.15946096413410321</v>
      </c>
    </row>
    <row r="15" spans="1:55" x14ac:dyDescent="0.3">
      <c r="A15">
        <f t="shared" si="14"/>
        <v>5</v>
      </c>
      <c r="C15" s="7"/>
      <c r="D15" s="7"/>
      <c r="E15" s="7"/>
      <c r="F15" s="7">
        <v>99761.191744037671</v>
      </c>
      <c r="G15" s="7">
        <v>99752.106656860939</v>
      </c>
      <c r="L15">
        <f t="shared" si="15"/>
        <v>-0.34471912230710272</v>
      </c>
      <c r="M15">
        <f t="shared" si="16"/>
        <v>-9.3846204732911817E-2</v>
      </c>
      <c r="R15">
        <f t="shared" si="0"/>
        <v>99761.191744037671</v>
      </c>
      <c r="S15">
        <f t="shared" si="0"/>
        <v>99752.106656860939</v>
      </c>
      <c r="X15">
        <f t="shared" si="1"/>
        <v>8795131.1165692937</v>
      </c>
      <c r="Y15">
        <f t="shared" si="2"/>
        <v>7546785.1232725941</v>
      </c>
      <c r="AD15">
        <f t="shared" si="3"/>
        <v>825823839442.01428</v>
      </c>
      <c r="AE15">
        <f t="shared" si="4"/>
        <v>688717417085.68665</v>
      </c>
      <c r="AJ15">
        <f t="shared" si="5"/>
        <v>393416537.90339088</v>
      </c>
      <c r="AK15">
        <f t="shared" si="10"/>
        <v>292911296.83724815</v>
      </c>
      <c r="AP15">
        <f t="shared" si="6"/>
        <v>88.161848939569666</v>
      </c>
      <c r="AQ15">
        <f t="shared" si="11"/>
        <v>75.655395922944422</v>
      </c>
      <c r="AV15">
        <f t="shared" si="7"/>
        <v>5.8796640010173262E-2</v>
      </c>
      <c r="AW15">
        <f t="shared" si="12"/>
        <v>8.5135016831173416E-2</v>
      </c>
      <c r="BB15">
        <f t="shared" si="8"/>
        <v>0.12145477239916523</v>
      </c>
      <c r="BC15">
        <f t="shared" si="13"/>
        <v>0.16136864601504045</v>
      </c>
    </row>
    <row r="16" spans="1:55" x14ac:dyDescent="0.3">
      <c r="A16">
        <f t="shared" si="14"/>
        <v>6</v>
      </c>
      <c r="C16" s="7"/>
      <c r="D16" s="7"/>
      <c r="E16" s="7"/>
      <c r="F16" s="7">
        <v>99757.353830053442</v>
      </c>
      <c r="G16" s="7">
        <v>99746.460127230705</v>
      </c>
      <c r="L16">
        <f t="shared" si="15"/>
        <v>5.7115926878648481E-3</v>
      </c>
      <c r="M16">
        <f t="shared" si="16"/>
        <v>-0.12053177071550197</v>
      </c>
      <c r="R16">
        <f t="shared" si="0"/>
        <v>99757.353830053442</v>
      </c>
      <c r="S16">
        <f t="shared" si="0"/>
        <v>99746.460127230705</v>
      </c>
      <c r="X16">
        <f t="shared" si="1"/>
        <v>8695371.843782248</v>
      </c>
      <c r="Y16">
        <f t="shared" si="2"/>
        <v>7447035.8398805484</v>
      </c>
      <c r="AD16">
        <f t="shared" si="3"/>
        <v>815871926933.78662</v>
      </c>
      <c r="AE16">
        <f t="shared" si="4"/>
        <v>678767497545.80298</v>
      </c>
      <c r="AJ16">
        <f t="shared" si="5"/>
        <v>384671286.74304128</v>
      </c>
      <c r="AK16">
        <f t="shared" si="10"/>
        <v>285414386.82621574</v>
      </c>
      <c r="AP16">
        <f t="shared" si="6"/>
        <v>87.165221509340327</v>
      </c>
      <c r="AQ16">
        <f t="shared" si="11"/>
        <v>74.659650381392467</v>
      </c>
      <c r="AV16">
        <f t="shared" si="7"/>
        <v>5.9434790235399437E-2</v>
      </c>
      <c r="AW16">
        <f t="shared" si="12"/>
        <v>8.622325338222947E-2</v>
      </c>
      <c r="BB16">
        <f t="shared" si="8"/>
        <v>0.12268733383118396</v>
      </c>
      <c r="BC16">
        <f t="shared" si="13"/>
        <v>0.16334996741994509</v>
      </c>
    </row>
    <row r="17" spans="1:55" x14ac:dyDescent="0.3">
      <c r="A17">
        <f t="shared" si="14"/>
        <v>7</v>
      </c>
      <c r="C17" s="7"/>
      <c r="D17" s="7"/>
      <c r="E17" s="7"/>
      <c r="F17" s="7">
        <v>99753.494081667057</v>
      </c>
      <c r="G17" s="7">
        <v>99741.455034362662</v>
      </c>
      <c r="L17">
        <f t="shared" si="15"/>
        <v>-0.18788148502791549</v>
      </c>
      <c r="M17">
        <f t="shared" si="16"/>
        <v>-8.9605226393972087E-2</v>
      </c>
      <c r="R17">
        <f t="shared" si="0"/>
        <v>99753.494081667057</v>
      </c>
      <c r="S17">
        <f t="shared" si="0"/>
        <v>99741.455034362662</v>
      </c>
      <c r="X17">
        <f t="shared" si="1"/>
        <v>8595616.4198263865</v>
      </c>
      <c r="Y17">
        <f t="shared" si="2"/>
        <v>7347291.882299752</v>
      </c>
      <c r="AD17">
        <f t="shared" si="3"/>
        <v>805920782323.93176</v>
      </c>
      <c r="AE17">
        <f t="shared" si="4"/>
        <v>668818640469.83557</v>
      </c>
      <c r="AJ17">
        <f t="shared" si="5"/>
        <v>376025792.93288267</v>
      </c>
      <c r="AK17">
        <f t="shared" si="10"/>
        <v>278017223.38221663</v>
      </c>
      <c r="AP17">
        <f t="shared" si="6"/>
        <v>86.168574834975232</v>
      </c>
      <c r="AQ17">
        <f t="shared" si="11"/>
        <v>73.663371762207419</v>
      </c>
      <c r="AV17">
        <f t="shared" si="7"/>
        <v>6.0087962768113012E-2</v>
      </c>
      <c r="AW17">
        <f t="shared" si="12"/>
        <v>8.7347650703940682E-2</v>
      </c>
      <c r="BB17">
        <f t="shared" si="8"/>
        <v>0.12395097320494104</v>
      </c>
      <c r="BC17">
        <f t="shared" si="13"/>
        <v>0.16540971325323447</v>
      </c>
    </row>
    <row r="18" spans="1:55" x14ac:dyDescent="0.3">
      <c r="A18">
        <f t="shared" si="14"/>
        <v>8</v>
      </c>
      <c r="C18" s="7"/>
      <c r="D18" s="7"/>
      <c r="E18" s="7"/>
      <c r="F18" s="7">
        <v>99750.295571485782</v>
      </c>
      <c r="G18" s="7">
        <v>99736.879137513053</v>
      </c>
      <c r="L18">
        <f t="shared" si="15"/>
        <v>1.2391981002970114E-2</v>
      </c>
      <c r="M18">
        <f t="shared" si="16"/>
        <v>2.8115695663125471E-2</v>
      </c>
      <c r="R18">
        <f t="shared" si="0"/>
        <v>99750.295571485782</v>
      </c>
      <c r="S18">
        <f t="shared" si="0"/>
        <v>99736.879137513053</v>
      </c>
      <c r="X18">
        <f t="shared" si="1"/>
        <v>8495864.5249998085</v>
      </c>
      <c r="Y18">
        <f t="shared" si="2"/>
        <v>7247552.7152138148</v>
      </c>
      <c r="AD18">
        <f t="shared" si="3"/>
        <v>795970341801.58691</v>
      </c>
      <c r="AE18">
        <f t="shared" si="4"/>
        <v>658870739017.09399</v>
      </c>
      <c r="AJ18">
        <f t="shared" si="5"/>
        <v>367480052.7270121</v>
      </c>
      <c r="AK18">
        <f t="shared" si="10"/>
        <v>270719801.46478456</v>
      </c>
      <c r="AP18">
        <f t="shared" si="6"/>
        <v>85.171321812387717</v>
      </c>
      <c r="AQ18">
        <f t="shared" si="11"/>
        <v>72.666728474842202</v>
      </c>
      <c r="AV18">
        <f t="shared" si="7"/>
        <v>6.076316526830905E-2</v>
      </c>
      <c r="AW18">
        <f t="shared" si="12"/>
        <v>8.8507576401327226E-2</v>
      </c>
      <c r="BB18">
        <f t="shared" si="8"/>
        <v>0.12527488274757484</v>
      </c>
      <c r="BC18">
        <f t="shared" si="13"/>
        <v>0.16754344963264423</v>
      </c>
    </row>
    <row r="19" spans="1:55" x14ac:dyDescent="0.3">
      <c r="A19">
        <f t="shared" si="14"/>
        <v>9</v>
      </c>
      <c r="C19" s="7"/>
      <c r="D19" s="7"/>
      <c r="E19" s="7"/>
      <c r="F19" s="7">
        <v>99747.057283309652</v>
      </c>
      <c r="G19" s="7">
        <v>99732.172979460156</v>
      </c>
      <c r="L19">
        <f t="shared" si="15"/>
        <v>8.1154888525763968E-2</v>
      </c>
      <c r="M19">
        <f t="shared" si="16"/>
        <v>-6.8426116196957321E-2</v>
      </c>
      <c r="R19">
        <f t="shared" si="0"/>
        <v>99747.057283309652</v>
      </c>
      <c r="S19">
        <f t="shared" si="0"/>
        <v>99732.172979460156</v>
      </c>
      <c r="X19">
        <f t="shared" si="1"/>
        <v>8396115.8485724106</v>
      </c>
      <c r="Y19">
        <f t="shared" si="2"/>
        <v>7147818.1891553281</v>
      </c>
      <c r="AD19">
        <f t="shared" si="3"/>
        <v>786020543351.69531</v>
      </c>
      <c r="AE19">
        <f t="shared" si="4"/>
        <v>648923763327.13733</v>
      </c>
      <c r="AJ19">
        <f t="shared" si="5"/>
        <v>359034062.81008333</v>
      </c>
      <c r="AK19">
        <f t="shared" si="10"/>
        <v>263522116.40477979</v>
      </c>
      <c r="AP19">
        <f t="shared" si="6"/>
        <v>84.174070666817613</v>
      </c>
      <c r="AQ19">
        <f t="shared" si="11"/>
        <v>71.670133875729562</v>
      </c>
      <c r="AV19">
        <f t="shared" si="7"/>
        <v>6.145439034732747E-2</v>
      </c>
      <c r="AW19">
        <f t="shared" si="12"/>
        <v>8.9699252828074449E-2</v>
      </c>
      <c r="BB19">
        <f t="shared" si="8"/>
        <v>0.12663148755070311</v>
      </c>
      <c r="BC19">
        <f t="shared" si="13"/>
        <v>0.16973631210818463</v>
      </c>
    </row>
    <row r="20" spans="1:55" x14ac:dyDescent="0.3">
      <c r="A20">
        <f t="shared" si="14"/>
        <v>10</v>
      </c>
      <c r="C20" s="7"/>
      <c r="D20" s="7"/>
      <c r="E20" s="7"/>
      <c r="F20" s="7">
        <v>99743.545352756948</v>
      </c>
      <c r="G20" s="7">
        <v>99727.77827566721</v>
      </c>
      <c r="L20">
        <f t="shared" si="15"/>
        <v>0.10617837679745036</v>
      </c>
      <c r="M20">
        <f t="shared" si="16"/>
        <v>0.14134167004113324</v>
      </c>
      <c r="R20">
        <f t="shared" si="0"/>
        <v>99743.545352756948</v>
      </c>
      <c r="S20">
        <f t="shared" si="0"/>
        <v>99727.77827566721</v>
      </c>
      <c r="X20">
        <f t="shared" si="1"/>
        <v>8296370.547254378</v>
      </c>
      <c r="Y20">
        <f t="shared" si="2"/>
        <v>7048088.2135277642</v>
      </c>
      <c r="AD20">
        <f t="shared" si="3"/>
        <v>776071418215.64221</v>
      </c>
      <c r="AE20">
        <f t="shared" si="4"/>
        <v>638977695286.85339</v>
      </c>
      <c r="AJ20">
        <f t="shared" si="5"/>
        <v>350687819.90483081</v>
      </c>
      <c r="AK20">
        <f t="shared" si="10"/>
        <v>256424163.56966355</v>
      </c>
      <c r="AP20">
        <f t="shared" si="6"/>
        <v>83.177016797559261</v>
      </c>
      <c r="AQ20">
        <f t="shared" si="11"/>
        <v>70.673270129867532</v>
      </c>
      <c r="AV20">
        <f t="shared" si="7"/>
        <v>6.2160010490881934E-2</v>
      </c>
      <c r="AW20">
        <f t="shared" si="12"/>
        <v>9.0928121181204302E-2</v>
      </c>
      <c r="BB20">
        <f t="shared" si="8"/>
        <v>0.12801258839622962</v>
      </c>
      <c r="BC20">
        <f t="shared" si="13"/>
        <v>0.17200441206835124</v>
      </c>
    </row>
    <row r="21" spans="1:55" x14ac:dyDescent="0.3">
      <c r="A21">
        <f t="shared" si="14"/>
        <v>11</v>
      </c>
      <c r="C21" s="7"/>
      <c r="D21" s="7"/>
      <c r="E21" s="7"/>
      <c r="F21" s="7">
        <v>99739.640160181953</v>
      </c>
      <c r="G21" s="7">
        <v>99722.716616179532</v>
      </c>
      <c r="L21">
        <f t="shared" si="15"/>
        <v>-3.8199426988222596E-2</v>
      </c>
      <c r="M21">
        <f t="shared" si="16"/>
        <v>7.8359137521532563E-2</v>
      </c>
      <c r="R21">
        <f t="shared" si="0"/>
        <v>99739.640160181953</v>
      </c>
      <c r="S21">
        <f t="shared" si="0"/>
        <v>99722.716616179532</v>
      </c>
      <c r="X21">
        <f t="shared" si="1"/>
        <v>8196628.9544979082</v>
      </c>
      <c r="Y21">
        <f t="shared" si="2"/>
        <v>6948362.9660818409</v>
      </c>
      <c r="AD21">
        <f t="shared" si="3"/>
        <v>766123032888.77393</v>
      </c>
      <c r="AE21">
        <f t="shared" si="4"/>
        <v>629032570306.56775</v>
      </c>
      <c r="AJ21">
        <f t="shared" si="5"/>
        <v>342441320.47938734</v>
      </c>
      <c r="AK21">
        <f t="shared" si="10"/>
        <v>249425938.40166372</v>
      </c>
      <c r="AP21">
        <f t="shared" si="6"/>
        <v>82.180253922453645</v>
      </c>
      <c r="AQ21">
        <f t="shared" si="11"/>
        <v>69.676831938155431</v>
      </c>
      <c r="AV21">
        <f t="shared" si="7"/>
        <v>6.2879482836381784E-2</v>
      </c>
      <c r="AW21">
        <f t="shared" si="12"/>
        <v>9.2186712158970896E-2</v>
      </c>
      <c r="BB21">
        <f t="shared" si="8"/>
        <v>0.12941476278404346</v>
      </c>
      <c r="BC21">
        <f t="shared" si="13"/>
        <v>0.17432103439459098</v>
      </c>
    </row>
    <row r="22" spans="1:55" x14ac:dyDescent="0.3">
      <c r="A22">
        <f t="shared" si="14"/>
        <v>12</v>
      </c>
      <c r="C22" s="7"/>
      <c r="D22" s="7"/>
      <c r="E22" s="7"/>
      <c r="F22" s="7">
        <v>99735.881474849361</v>
      </c>
      <c r="G22" s="7">
        <v>99717.242664931808</v>
      </c>
      <c r="L22">
        <f t="shared" si="15"/>
        <v>0.18124057894749354</v>
      </c>
      <c r="M22">
        <f t="shared" si="16"/>
        <v>0.21117922490579547</v>
      </c>
      <c r="R22">
        <f t="shared" si="0"/>
        <v>99735.881474849361</v>
      </c>
      <c r="S22">
        <f t="shared" si="0"/>
        <v>99717.242664931808</v>
      </c>
      <c r="X22">
        <f t="shared" si="1"/>
        <v>8096891.1936803926</v>
      </c>
      <c r="Y22">
        <f t="shared" si="2"/>
        <v>6848642.9864412853</v>
      </c>
      <c r="AD22">
        <f t="shared" si="3"/>
        <v>756175411954.70471</v>
      </c>
      <c r="AE22">
        <f t="shared" si="4"/>
        <v>619088495964.55786</v>
      </c>
      <c r="AJ22">
        <f t="shared" si="5"/>
        <v>334294560.71852195</v>
      </c>
      <c r="AK22">
        <f t="shared" si="10"/>
        <v>242527435.88156477</v>
      </c>
      <c r="AP22">
        <f t="shared" si="6"/>
        <v>81.183332156363463</v>
      </c>
      <c r="AQ22">
        <f t="shared" si="11"/>
        <v>68.680629381760781</v>
      </c>
      <c r="AV22">
        <f t="shared" si="7"/>
        <v>6.361851467807722E-2</v>
      </c>
      <c r="AW22">
        <f t="shared" si="12"/>
        <v>9.3478840873458258E-2</v>
      </c>
      <c r="BB22">
        <f t="shared" si="8"/>
        <v>0.13086074071334275</v>
      </c>
      <c r="BC22">
        <f t="shared" si="13"/>
        <v>0.17669685995569109</v>
      </c>
    </row>
    <row r="23" spans="1:55" x14ac:dyDescent="0.3">
      <c r="A23">
        <f t="shared" si="14"/>
        <v>13</v>
      </c>
      <c r="C23" s="7"/>
      <c r="D23" s="7"/>
      <c r="E23" s="7"/>
      <c r="F23" s="7">
        <v>99731.376112142752</v>
      </c>
      <c r="G23" s="7">
        <v>99710.482018019582</v>
      </c>
      <c r="L23">
        <f t="shared" si="15"/>
        <v>0.12495030651547918</v>
      </c>
      <c r="M23">
        <f t="shared" si="16"/>
        <v>0.17805195396016638</v>
      </c>
      <c r="R23">
        <f t="shared" si="0"/>
        <v>99731.376112142752</v>
      </c>
      <c r="S23">
        <f t="shared" si="0"/>
        <v>99710.482018019582</v>
      </c>
      <c r="X23">
        <f t="shared" si="1"/>
        <v>7997157.5648868969</v>
      </c>
      <c r="Y23">
        <f t="shared" si="2"/>
        <v>6748929.1240998097</v>
      </c>
      <c r="AD23">
        <f t="shared" si="3"/>
        <v>746228615240.69434</v>
      </c>
      <c r="AE23">
        <f t="shared" si="4"/>
        <v>609145641617.69421</v>
      </c>
      <c r="AJ23">
        <f t="shared" si="5"/>
        <v>326247536.7146852</v>
      </c>
      <c r="AK23">
        <f t="shared" si="10"/>
        <v>235728650.38968146</v>
      </c>
      <c r="AP23">
        <f t="shared" si="6"/>
        <v>80.186977024106326</v>
      </c>
      <c r="AQ23">
        <f t="shared" si="11"/>
        <v>67.68525221731602</v>
      </c>
      <c r="AV23">
        <f t="shared" si="7"/>
        <v>6.4369362879990399E-2</v>
      </c>
      <c r="AW23">
        <f t="shared" si="12"/>
        <v>9.4798097183132146E-2</v>
      </c>
      <c r="BB23">
        <f t="shared" si="8"/>
        <v>0.13231700550514119</v>
      </c>
      <c r="BC23">
        <f t="shared" si="13"/>
        <v>0.17910946484218859</v>
      </c>
    </row>
    <row r="24" spans="1:55" x14ac:dyDescent="0.3">
      <c r="A24">
        <f t="shared" si="14"/>
        <v>14</v>
      </c>
      <c r="C24" s="7"/>
      <c r="D24" s="7"/>
      <c r="E24" s="7"/>
      <c r="F24" s="7">
        <v>99726.27136700532</v>
      </c>
      <c r="G24" s="7">
        <v>99702.404407270835</v>
      </c>
      <c r="L24">
        <f t="shared" si="15"/>
        <v>0.14770908075933839</v>
      </c>
      <c r="M24">
        <f t="shared" si="16"/>
        <v>0.1541252452339674</v>
      </c>
      <c r="R24">
        <f t="shared" si="0"/>
        <v>99726.27136700532</v>
      </c>
      <c r="S24">
        <f t="shared" si="0"/>
        <v>99702.404407270835</v>
      </c>
      <c r="X24">
        <f t="shared" si="1"/>
        <v>7897428.7411473226</v>
      </c>
      <c r="Y24">
        <f t="shared" si="2"/>
        <v>6649222.6808871645</v>
      </c>
      <c r="AD24">
        <f t="shared" si="3"/>
        <v>736282776954.04382</v>
      </c>
      <c r="AE24">
        <f t="shared" si="4"/>
        <v>599204266794.1405</v>
      </c>
      <c r="AJ24">
        <f t="shared" si="5"/>
        <v>318300243.98706353</v>
      </c>
      <c r="AK24">
        <f t="shared" si="10"/>
        <v>229029575.16032219</v>
      </c>
      <c r="AP24">
        <f t="shared" si="6"/>
        <v>79.191056006533969</v>
      </c>
      <c r="AQ24">
        <f t="shared" si="11"/>
        <v>66.690695379080225</v>
      </c>
      <c r="AV24">
        <f t="shared" si="7"/>
        <v>6.5134045714283939E-2</v>
      </c>
      <c r="AW24">
        <f t="shared" si="12"/>
        <v>9.6145784691798464E-2</v>
      </c>
      <c r="BB24">
        <f t="shared" si="8"/>
        <v>0.13379090435190535</v>
      </c>
      <c r="BC24">
        <f t="shared" si="13"/>
        <v>0.18156156875644647</v>
      </c>
    </row>
    <row r="25" spans="1:55" x14ac:dyDescent="0.3">
      <c r="A25">
        <f t="shared" si="14"/>
        <v>15</v>
      </c>
      <c r="C25" s="7"/>
      <c r="D25" s="7"/>
      <c r="E25" s="7"/>
      <c r="F25" s="7">
        <v>99720.354397872434</v>
      </c>
      <c r="G25" s="7">
        <v>99692.981594771481</v>
      </c>
      <c r="L25">
        <f t="shared" si="15"/>
        <v>7.3939398882282778E-2</v>
      </c>
      <c r="M25">
        <f t="shared" si="16"/>
        <v>0.22812187642205786</v>
      </c>
      <c r="R25">
        <f t="shared" si="0"/>
        <v>99720.354397872434</v>
      </c>
      <c r="S25">
        <f t="shared" si="0"/>
        <v>99692.981594771481</v>
      </c>
      <c r="X25">
        <f t="shared" si="1"/>
        <v>7797705.4282648833</v>
      </c>
      <c r="Y25">
        <f t="shared" si="2"/>
        <v>6549524.9878861438</v>
      </c>
      <c r="AD25">
        <f t="shared" si="3"/>
        <v>726338037818.87744</v>
      </c>
      <c r="AE25">
        <f t="shared" si="4"/>
        <v>589264636797.0155</v>
      </c>
      <c r="AJ25">
        <f t="shared" si="5"/>
        <v>310452677.39543819</v>
      </c>
      <c r="AK25">
        <f t="shared" si="10"/>
        <v>222430202.11116993</v>
      </c>
      <c r="AP25">
        <f t="shared" si="6"/>
        <v>78.19572518919216</v>
      </c>
      <c r="AQ25">
        <f t="shared" si="11"/>
        <v>65.696951611984304</v>
      </c>
      <c r="AV25">
        <f t="shared" si="7"/>
        <v>6.5911231307986373E-2</v>
      </c>
      <c r="AW25">
        <f t="shared" si="12"/>
        <v>9.7523316099147772E-2</v>
      </c>
      <c r="BB25">
        <f t="shared" si="8"/>
        <v>0.13527597528852228</v>
      </c>
      <c r="BC25">
        <f t="shared" si="13"/>
        <v>0.1840561272347431</v>
      </c>
    </row>
    <row r="26" spans="1:55" x14ac:dyDescent="0.3">
      <c r="A26">
        <f t="shared" si="14"/>
        <v>16</v>
      </c>
      <c r="C26" s="7"/>
      <c r="D26" s="7"/>
      <c r="E26" s="7"/>
      <c r="F26" s="7">
        <v>99713.983743857869</v>
      </c>
      <c r="G26" s="7">
        <v>99681.145557724158</v>
      </c>
      <c r="L26">
        <f t="shared" si="15"/>
        <v>0.1357881722423244</v>
      </c>
      <c r="M26">
        <f t="shared" si="16"/>
        <v>0.35843706921917096</v>
      </c>
      <c r="R26">
        <f t="shared" si="0"/>
        <v>99713.983743857869</v>
      </c>
      <c r="S26">
        <f t="shared" si="0"/>
        <v>99681.145557724158</v>
      </c>
      <c r="X26">
        <f t="shared" si="1"/>
        <v>7697988.2591940183</v>
      </c>
      <c r="Y26">
        <f t="shared" si="2"/>
        <v>6449837.9243098963</v>
      </c>
      <c r="AD26">
        <f t="shared" si="3"/>
        <v>716394524007.98779</v>
      </c>
      <c r="AE26">
        <f t="shared" si="4"/>
        <v>579327126140.88635</v>
      </c>
      <c r="AJ26">
        <f t="shared" si="5"/>
        <v>302704831.0825966</v>
      </c>
      <c r="AK26">
        <f t="shared" si="10"/>
        <v>215930521.64140832</v>
      </c>
      <c r="AP26">
        <f t="shared" si="6"/>
        <v>77.200689112656121</v>
      </c>
      <c r="AQ26">
        <f t="shared" si="11"/>
        <v>64.704693031189862</v>
      </c>
      <c r="AV26">
        <f t="shared" si="7"/>
        <v>6.6704985885732149E-2</v>
      </c>
      <c r="AW26">
        <f t="shared" si="12"/>
        <v>9.8922714042578019E-2</v>
      </c>
      <c r="BB26">
        <f t="shared" si="8"/>
        <v>0.13678756454385302</v>
      </c>
      <c r="BC26">
        <f t="shared" si="13"/>
        <v>0.18656691039574846</v>
      </c>
    </row>
    <row r="27" spans="1:55" x14ac:dyDescent="0.3">
      <c r="A27">
        <f t="shared" si="14"/>
        <v>17</v>
      </c>
      <c r="C27" s="7"/>
      <c r="D27" s="7"/>
      <c r="E27" s="7">
        <v>100000</v>
      </c>
      <c r="F27" s="7">
        <v>99706.687046897583</v>
      </c>
      <c r="G27" s="7">
        <v>99664.209556427988</v>
      </c>
      <c r="L27">
        <f t="shared" si="15"/>
        <v>0.15949129207659027</v>
      </c>
      <c r="M27">
        <f t="shared" si="16"/>
        <v>0.10053621998408531</v>
      </c>
      <c r="Q27">
        <f t="shared" ref="Q27:Q74" si="17">E27</f>
        <v>100000</v>
      </c>
      <c r="R27">
        <f t="shared" si="0"/>
        <v>99706.687046897583</v>
      </c>
      <c r="S27">
        <f t="shared" si="0"/>
        <v>99664.209556427988</v>
      </c>
      <c r="W27">
        <f t="shared" ref="W27:W73" si="18">W28+0.5*Q27+0.5*Q28</f>
        <v>7416800.2939050198</v>
      </c>
      <c r="X27">
        <f t="shared" si="1"/>
        <v>7598277.9237986412</v>
      </c>
      <c r="Y27">
        <f t="shared" si="2"/>
        <v>6350165.24675282</v>
      </c>
      <c r="AC27">
        <f t="shared" ref="AC27:AC73" si="19">AC28+(Q27^2+Q27*Q28+Q28^2)/3</f>
        <v>685312499147.87952</v>
      </c>
      <c r="AD27">
        <f t="shared" si="3"/>
        <v>706452373018.89221</v>
      </c>
      <c r="AE27">
        <f t="shared" si="4"/>
        <v>569392483465.58716</v>
      </c>
      <c r="AI27">
        <f t="shared" si="5"/>
        <v>281575617.1602993</v>
      </c>
      <c r="AJ27">
        <f t="shared" si="5"/>
        <v>295056698.59915835</v>
      </c>
      <c r="AK27">
        <f t="shared" si="10"/>
        <v>209530521.46721041</v>
      </c>
      <c r="AO27">
        <f t="shared" ref="AO27:AO73" si="20">W27/Q27</f>
        <v>74.168002939050197</v>
      </c>
      <c r="AP27">
        <f t="shared" si="6"/>
        <v>76.20630219340002</v>
      </c>
      <c r="AQ27">
        <f t="shared" si="11"/>
        <v>63.715603374724772</v>
      </c>
      <c r="AU27">
        <f t="shared" ref="AU27:AU73" si="21">1-AC27/Q27/W27</f>
        <v>7.5999795071931775E-2</v>
      </c>
      <c r="AV27">
        <f t="shared" si="7"/>
        <v>6.751162288734136E-2</v>
      </c>
      <c r="AW27">
        <f t="shared" si="12"/>
        <v>0.10032122214102024</v>
      </c>
      <c r="BA27">
        <f t="shared" ref="BA27:BA73" si="22">SQRT(2*Q27*AI27/W27^2-1)</f>
        <v>0.15409470928794011</v>
      </c>
      <c r="BB27">
        <f t="shared" si="8"/>
        <v>0.13830975865916179</v>
      </c>
      <c r="BC27">
        <f t="shared" si="13"/>
        <v>0.18902321953530749</v>
      </c>
    </row>
    <row r="28" spans="1:55" x14ac:dyDescent="0.3">
      <c r="A28">
        <f t="shared" si="14"/>
        <v>18</v>
      </c>
      <c r="C28" s="7"/>
      <c r="D28" s="7"/>
      <c r="E28" s="7">
        <v>99986.028694031542</v>
      </c>
      <c r="F28" s="7">
        <v>99698.129328939336</v>
      </c>
      <c r="G28" s="7">
        <v>99645.485691137103</v>
      </c>
      <c r="K28">
        <f t="shared" ref="K28:K75" si="23">LN(LN(E28/E29)/LN(E27/E28))</f>
        <v>-1.9472576016678185E-2</v>
      </c>
      <c r="L28">
        <f t="shared" si="15"/>
        <v>7.8624630693821199E-3</v>
      </c>
      <c r="M28">
        <f t="shared" si="16"/>
        <v>0.21963859859196599</v>
      </c>
      <c r="Q28">
        <f t="shared" si="17"/>
        <v>99986.028694031542</v>
      </c>
      <c r="R28">
        <f t="shared" si="0"/>
        <v>99698.129328939336</v>
      </c>
      <c r="S28">
        <f t="shared" si="0"/>
        <v>99645.485691137103</v>
      </c>
      <c r="W28">
        <f t="shared" si="18"/>
        <v>7316807.2795580039</v>
      </c>
      <c r="X28">
        <f t="shared" si="1"/>
        <v>7498575.5156107228</v>
      </c>
      <c r="Y28">
        <f t="shared" si="2"/>
        <v>6250510.3991290368</v>
      </c>
      <c r="AC28">
        <f t="shared" si="19"/>
        <v>675313896213.41052</v>
      </c>
      <c r="AD28">
        <f t="shared" si="3"/>
        <v>696511802814.31897</v>
      </c>
      <c r="AE28">
        <f t="shared" si="4"/>
        <v>559461394781.45264</v>
      </c>
      <c r="AI28">
        <f t="shared" si="5"/>
        <v>274208814.53784329</v>
      </c>
      <c r="AJ28">
        <f t="shared" si="5"/>
        <v>287508272.59259683</v>
      </c>
      <c r="AK28">
        <f t="shared" si="10"/>
        <v>203230185.2045916</v>
      </c>
      <c r="AO28">
        <f t="shared" si="20"/>
        <v>73.178296759322791</v>
      </c>
      <c r="AP28">
        <f t="shared" si="6"/>
        <v>75.212800541826354</v>
      </c>
      <c r="AQ28">
        <f t="shared" si="11"/>
        <v>62.727481890180442</v>
      </c>
      <c r="AU28">
        <f t="shared" si="21"/>
        <v>7.6908501533347384E-2</v>
      </c>
      <c r="AV28">
        <f t="shared" si="7"/>
        <v>6.8328734627608023E-2</v>
      </c>
      <c r="AW28">
        <f t="shared" si="12"/>
        <v>0.10175043960340313</v>
      </c>
      <c r="BA28">
        <f t="shared" si="22"/>
        <v>0.15573563361153936</v>
      </c>
      <c r="BB28">
        <f t="shared" si="8"/>
        <v>0.13983208212701703</v>
      </c>
      <c r="BC28">
        <f t="shared" si="13"/>
        <v>0.19152118590240669</v>
      </c>
    </row>
    <row r="29" spans="1:55" x14ac:dyDescent="0.3">
      <c r="A29">
        <f t="shared" si="14"/>
        <v>19</v>
      </c>
      <c r="C29" s="7"/>
      <c r="D29" s="7"/>
      <c r="E29" s="7">
        <v>99972.328709537149</v>
      </c>
      <c r="F29" s="7">
        <v>99689.504804252254</v>
      </c>
      <c r="G29" s="7">
        <v>99622.167668479873</v>
      </c>
      <c r="K29">
        <f t="shared" si="23"/>
        <v>9.4813406388993549E-2</v>
      </c>
      <c r="L29">
        <f t="shared" si="15"/>
        <v>0.12574637227016758</v>
      </c>
      <c r="M29">
        <f t="shared" si="16"/>
        <v>0.18883553643757009</v>
      </c>
      <c r="Q29">
        <f t="shared" si="17"/>
        <v>99972.328709537149</v>
      </c>
      <c r="R29">
        <f t="shared" si="0"/>
        <v>99689.504804252254</v>
      </c>
      <c r="S29">
        <f t="shared" si="0"/>
        <v>99622.167668479873</v>
      </c>
      <c r="W29">
        <f t="shared" si="18"/>
        <v>7216828.1008562194</v>
      </c>
      <c r="X29">
        <f t="shared" si="1"/>
        <v>7398881.6985441269</v>
      </c>
      <c r="Y29">
        <f t="shared" si="2"/>
        <v>6150876.5724492278</v>
      </c>
      <c r="AC29">
        <f t="shared" si="19"/>
        <v>665318060023.88635</v>
      </c>
      <c r="AD29">
        <f t="shared" si="3"/>
        <v>686572945646.81262</v>
      </c>
      <c r="AE29">
        <f t="shared" si="4"/>
        <v>549534495317.27966</v>
      </c>
      <c r="AI29">
        <f t="shared" si="5"/>
        <v>266941997.98930153</v>
      </c>
      <c r="AJ29">
        <f t="shared" si="5"/>
        <v>280059544.70422977</v>
      </c>
      <c r="AK29">
        <f t="shared" si="10"/>
        <v>197029493.661971</v>
      </c>
      <c r="AO29">
        <f t="shared" si="20"/>
        <v>72.188256430679189</v>
      </c>
      <c r="AP29">
        <f t="shared" si="6"/>
        <v>74.219264235210929</v>
      </c>
      <c r="AQ29">
        <f t="shared" si="11"/>
        <v>61.74204714073236</v>
      </c>
      <c r="AU29">
        <f t="shared" si="21"/>
        <v>7.7846660923867272E-2</v>
      </c>
      <c r="AV29">
        <f t="shared" si="7"/>
        <v>6.916830218835901E-2</v>
      </c>
      <c r="AW29">
        <f t="shared" si="12"/>
        <v>0.10318686682466049</v>
      </c>
      <c r="BA29">
        <f t="shared" si="22"/>
        <v>0.15744173687757948</v>
      </c>
      <c r="BB29">
        <f t="shared" si="8"/>
        <v>0.14140038162697935</v>
      </c>
      <c r="BC29">
        <f t="shared" si="13"/>
        <v>0.19398872344076992</v>
      </c>
    </row>
    <row r="30" spans="1:55" x14ac:dyDescent="0.3">
      <c r="A30">
        <f t="shared" si="14"/>
        <v>20</v>
      </c>
      <c r="C30" s="7"/>
      <c r="D30" s="7"/>
      <c r="E30" s="7">
        <v>99957.268377568122</v>
      </c>
      <c r="F30" s="7">
        <v>99679.725543251014</v>
      </c>
      <c r="G30" s="7">
        <v>99594.010450163463</v>
      </c>
      <c r="K30">
        <f t="shared" si="23"/>
        <v>-3.1344621903845925E-2</v>
      </c>
      <c r="L30">
        <f t="shared" si="15"/>
        <v>-3.3415232273231399E-2</v>
      </c>
      <c r="M30">
        <f t="shared" si="16"/>
        <v>8.6707906693848008E-2</v>
      </c>
      <c r="Q30">
        <f t="shared" si="17"/>
        <v>99957.268377568122</v>
      </c>
      <c r="R30">
        <f t="shared" si="0"/>
        <v>99679.725543251014</v>
      </c>
      <c r="S30">
        <f t="shared" si="0"/>
        <v>99594.010450163463</v>
      </c>
      <c r="W30">
        <f t="shared" si="18"/>
        <v>7116863.3023126666</v>
      </c>
      <c r="X30">
        <f t="shared" si="1"/>
        <v>7299197.0833703754</v>
      </c>
      <c r="Y30">
        <f t="shared" si="2"/>
        <v>6051268.4833899057</v>
      </c>
      <c r="AC30">
        <f t="shared" si="19"/>
        <v>655325099057.1322</v>
      </c>
      <c r="AD30">
        <f t="shared" si="3"/>
        <v>676635923136.50415</v>
      </c>
      <c r="AE30">
        <f t="shared" si="4"/>
        <v>539612723845.16083</v>
      </c>
      <c r="AI30">
        <f t="shared" si="5"/>
        <v>259775153.54274476</v>
      </c>
      <c r="AJ30">
        <f t="shared" si="5"/>
        <v>272710506.1282109</v>
      </c>
      <c r="AK30">
        <f t="shared" si="10"/>
        <v>190928423.48048627</v>
      </c>
      <c r="AO30">
        <f t="shared" si="20"/>
        <v>71.199057535567817</v>
      </c>
      <c r="AP30">
        <f t="shared" si="6"/>
        <v>73.226496597878921</v>
      </c>
      <c r="AQ30">
        <f t="shared" si="11"/>
        <v>60.759361492104404</v>
      </c>
      <c r="AU30">
        <f t="shared" si="21"/>
        <v>7.8800277639047955E-2</v>
      </c>
      <c r="AV30">
        <f t="shared" si="7"/>
        <v>7.0021030596965295E-2</v>
      </c>
      <c r="AW30">
        <f t="shared" si="12"/>
        <v>0.10463000086621921</v>
      </c>
      <c r="BA30">
        <f t="shared" si="22"/>
        <v>0.15916196627862644</v>
      </c>
      <c r="BB30">
        <f t="shared" si="8"/>
        <v>0.14297710985135989</v>
      </c>
      <c r="BC30">
        <f t="shared" si="13"/>
        <v>0.19642403131327621</v>
      </c>
    </row>
    <row r="31" spans="1:55" x14ac:dyDescent="0.3">
      <c r="A31">
        <f t="shared" si="14"/>
        <v>21</v>
      </c>
      <c r="C31" s="7"/>
      <c r="D31" s="7"/>
      <c r="E31" s="7">
        <v>99942.674949261112</v>
      </c>
      <c r="F31" s="7">
        <v>99670.268571730034</v>
      </c>
      <c r="G31" s="7">
        <v>99563.311877206972</v>
      </c>
      <c r="K31">
        <f t="shared" si="23"/>
        <v>1.3382790327109763E-2</v>
      </c>
      <c r="L31">
        <f t="shared" si="15"/>
        <v>2.0423426324304318E-2</v>
      </c>
      <c r="M31">
        <f t="shared" si="16"/>
        <v>5.0771218278179639E-2</v>
      </c>
      <c r="Q31">
        <f t="shared" si="17"/>
        <v>99942.674949261112</v>
      </c>
      <c r="R31">
        <f t="shared" si="0"/>
        <v>99670.268571730034</v>
      </c>
      <c r="S31">
        <f t="shared" si="0"/>
        <v>99563.311877206972</v>
      </c>
      <c r="W31">
        <f t="shared" si="18"/>
        <v>7016913.330649252</v>
      </c>
      <c r="X31">
        <f t="shared" si="1"/>
        <v>7199522.0863128845</v>
      </c>
      <c r="Y31">
        <f t="shared" si="2"/>
        <v>5951689.8222262198</v>
      </c>
      <c r="AC31">
        <f t="shared" si="19"/>
        <v>645335102203.86743</v>
      </c>
      <c r="AD31">
        <f t="shared" si="3"/>
        <v>666700818090.6405</v>
      </c>
      <c r="AE31">
        <f t="shared" si="4"/>
        <v>529696814007.47528</v>
      </c>
      <c r="AI31">
        <f t="shared" si="5"/>
        <v>252708266.44238281</v>
      </c>
      <c r="AJ31">
        <f t="shared" si="5"/>
        <v>265461147.33145025</v>
      </c>
      <c r="AK31">
        <f t="shared" si="10"/>
        <v>184926946.88589263</v>
      </c>
      <c r="AO31">
        <f t="shared" si="20"/>
        <v>70.20938086969953</v>
      </c>
      <c r="AP31">
        <f t="shared" si="6"/>
        <v>72.233397074992126</v>
      </c>
      <c r="AQ31">
        <f t="shared" si="11"/>
        <v>59.777941392372867</v>
      </c>
      <c r="AU31">
        <f t="shared" si="21"/>
        <v>7.9787332918265896E-2</v>
      </c>
      <c r="AV31">
        <f t="shared" si="7"/>
        <v>7.090164494267126E-2</v>
      </c>
      <c r="AW31">
        <f t="shared" si="12"/>
        <v>0.10610247104627013</v>
      </c>
      <c r="BA31">
        <f t="shared" si="22"/>
        <v>0.16095794980283415</v>
      </c>
      <c r="BB31">
        <f t="shared" si="8"/>
        <v>0.1446175081339845</v>
      </c>
      <c r="BC31">
        <f t="shared" si="13"/>
        <v>0.19889329018456597</v>
      </c>
    </row>
    <row r="32" spans="1:55" x14ac:dyDescent="0.3">
      <c r="A32">
        <f t="shared" si="14"/>
        <v>22</v>
      </c>
      <c r="C32" s="7"/>
      <c r="D32" s="7"/>
      <c r="E32" s="7">
        <v>99927.887081320136</v>
      </c>
      <c r="F32" s="7">
        <v>99660.617395799185</v>
      </c>
      <c r="G32" s="7">
        <v>99531.024670454644</v>
      </c>
      <c r="K32">
        <f t="shared" si="23"/>
        <v>3.5095033370473108E-2</v>
      </c>
      <c r="L32">
        <f t="shared" si="15"/>
        <v>5.1980747249092456E-2</v>
      </c>
      <c r="M32">
        <f t="shared" si="16"/>
        <v>6.6829402224209593E-3</v>
      </c>
      <c r="Q32">
        <f t="shared" si="17"/>
        <v>99927.887081320136</v>
      </c>
      <c r="R32">
        <f t="shared" si="0"/>
        <v>99660.617395799185</v>
      </c>
      <c r="S32">
        <f t="shared" si="0"/>
        <v>99531.024670454644</v>
      </c>
      <c r="W32">
        <f t="shared" si="18"/>
        <v>6916978.0496339621</v>
      </c>
      <c r="X32">
        <f t="shared" si="1"/>
        <v>7099856.6433291193</v>
      </c>
      <c r="Y32">
        <f t="shared" si="2"/>
        <v>5852142.653952389</v>
      </c>
      <c r="AC32">
        <f t="shared" si="19"/>
        <v>635348041794.03894</v>
      </c>
      <c r="AD32">
        <f t="shared" si="3"/>
        <v>656767617557.72839</v>
      </c>
      <c r="AE32">
        <f t="shared" si="4"/>
        <v>519787175209.26489</v>
      </c>
      <c r="AI32">
        <f t="shared" si="5"/>
        <v>245741321.98456356</v>
      </c>
      <c r="AJ32">
        <f t="shared" si="5"/>
        <v>258311458.77089393</v>
      </c>
      <c r="AK32">
        <f t="shared" si="10"/>
        <v>179025033.33840388</v>
      </c>
      <c r="AO32">
        <f t="shared" si="20"/>
        <v>69.219696840032327</v>
      </c>
      <c r="AP32">
        <f t="shared" si="6"/>
        <v>71.240343767209964</v>
      </c>
      <c r="AQ32">
        <f t="shared" si="11"/>
        <v>58.797170764881841</v>
      </c>
      <c r="AU32">
        <f t="shared" si="21"/>
        <v>8.0803009804029657E-2</v>
      </c>
      <c r="AV32">
        <f t="shared" si="7"/>
        <v>7.1806381235514638E-2</v>
      </c>
      <c r="AW32">
        <f t="shared" si="12"/>
        <v>0.10761516650896064</v>
      </c>
      <c r="BA32">
        <f t="shared" si="22"/>
        <v>0.16281101342857815</v>
      </c>
      <c r="BB32">
        <f t="shared" si="8"/>
        <v>0.14630529671367076</v>
      </c>
      <c r="BC32">
        <f t="shared" si="13"/>
        <v>0.20142665045472075</v>
      </c>
    </row>
    <row r="33" spans="1:55" x14ac:dyDescent="0.3">
      <c r="A33">
        <f t="shared" si="14"/>
        <v>23</v>
      </c>
      <c r="C33" s="7"/>
      <c r="D33" s="7"/>
      <c r="E33" s="7">
        <v>99912.573325048172</v>
      </c>
      <c r="F33" s="7">
        <v>99650.452287570122</v>
      </c>
      <c r="G33" s="7">
        <v>99498.53154351862</v>
      </c>
      <c r="K33">
        <f t="shared" si="23"/>
        <v>-2.4366975832385215E-2</v>
      </c>
      <c r="L33">
        <f t="shared" si="15"/>
        <v>-2.553108338932655E-2</v>
      </c>
      <c r="M33">
        <f t="shared" si="16"/>
        <v>0.10149964472827913</v>
      </c>
      <c r="Q33">
        <f t="shared" si="17"/>
        <v>99912.573325048172</v>
      </c>
      <c r="R33">
        <f t="shared" si="0"/>
        <v>99650.452287570122</v>
      </c>
      <c r="S33">
        <f t="shared" si="0"/>
        <v>99498.53154351862</v>
      </c>
      <c r="W33">
        <f t="shared" si="18"/>
        <v>6817057.8194307787</v>
      </c>
      <c r="X33">
        <f t="shared" si="1"/>
        <v>7000201.1084874347</v>
      </c>
      <c r="Y33">
        <f t="shared" si="2"/>
        <v>5752627.8758454025</v>
      </c>
      <c r="AC33">
        <f t="shared" si="19"/>
        <v>625363989370.63904</v>
      </c>
      <c r="AD33">
        <f t="shared" si="3"/>
        <v>646836391924.5354</v>
      </c>
      <c r="AE33">
        <f t="shared" si="4"/>
        <v>509883984059.59851</v>
      </c>
      <c r="AI33">
        <f t="shared" si="5"/>
        <v>238874305.32617757</v>
      </c>
      <c r="AJ33">
        <f t="shared" si="5"/>
        <v>251261430.74207801</v>
      </c>
      <c r="AK33">
        <f t="shared" si="10"/>
        <v>173222650.78126556</v>
      </c>
      <c r="AO33">
        <f t="shared" si="20"/>
        <v>68.230229615372508</v>
      </c>
      <c r="AP33">
        <f t="shared" si="6"/>
        <v>70.247559823274415</v>
      </c>
      <c r="AQ33">
        <f t="shared" si="11"/>
        <v>57.816208808361367</v>
      </c>
      <c r="AU33">
        <f t="shared" si="21"/>
        <v>8.1845542017722983E-2</v>
      </c>
      <c r="AV33">
        <f t="shared" si="7"/>
        <v>7.2733319116492945E-2</v>
      </c>
      <c r="AW33">
        <f t="shared" si="12"/>
        <v>0.10918316086009339</v>
      </c>
      <c r="BA33">
        <f t="shared" si="22"/>
        <v>0.16471336520090835</v>
      </c>
      <c r="BB33">
        <f t="shared" si="8"/>
        <v>0.14803151720341881</v>
      </c>
      <c r="BC33">
        <f t="shared" si="13"/>
        <v>0.20406548733334443</v>
      </c>
    </row>
    <row r="34" spans="1:55" x14ac:dyDescent="0.3">
      <c r="A34">
        <f t="shared" si="14"/>
        <v>24</v>
      </c>
      <c r="C34" s="7"/>
      <c r="D34" s="7"/>
      <c r="E34" s="7">
        <v>99897.630471886208</v>
      </c>
      <c r="F34" s="7">
        <v>99640.544418529214</v>
      </c>
      <c r="G34" s="7">
        <v>99462.579559265112</v>
      </c>
      <c r="K34">
        <f t="shared" si="23"/>
        <v>-5.3637469876621199E-2</v>
      </c>
      <c r="L34">
        <f t="shared" si="15"/>
        <v>-5.6135466894541242E-2</v>
      </c>
      <c r="M34">
        <f t="shared" si="16"/>
        <v>3.4672270401624045E-2</v>
      </c>
      <c r="Q34">
        <f t="shared" si="17"/>
        <v>99897.630471886208</v>
      </c>
      <c r="R34">
        <f t="shared" si="0"/>
        <v>99640.544418529214</v>
      </c>
      <c r="S34">
        <f t="shared" si="0"/>
        <v>99462.579559265112</v>
      </c>
      <c r="W34">
        <f t="shared" si="18"/>
        <v>6717152.7175323116</v>
      </c>
      <c r="X34">
        <f t="shared" si="1"/>
        <v>6900555.6101343855</v>
      </c>
      <c r="Y34">
        <f t="shared" si="2"/>
        <v>5653147.3202940105</v>
      </c>
      <c r="AC34">
        <f t="shared" si="19"/>
        <v>615382959966.68848</v>
      </c>
      <c r="AD34">
        <f t="shared" si="3"/>
        <v>636907166574.32727</v>
      </c>
      <c r="AE34">
        <f t="shared" si="4"/>
        <v>499987603019.07288</v>
      </c>
      <c r="AI34">
        <f t="shared" si="5"/>
        <v>232107201.30293378</v>
      </c>
      <c r="AJ34">
        <f t="shared" si="5"/>
        <v>244311053.20842284</v>
      </c>
      <c r="AK34">
        <f t="shared" si="10"/>
        <v>167519766.17919454</v>
      </c>
      <c r="AO34">
        <f t="shared" si="20"/>
        <v>67.240360815391838</v>
      </c>
      <c r="AP34">
        <f t="shared" si="6"/>
        <v>69.254495249939183</v>
      </c>
      <c r="AQ34">
        <f t="shared" si="11"/>
        <v>56.83692646364117</v>
      </c>
      <c r="AU34">
        <f t="shared" si="21"/>
        <v>8.29245722763986E-2</v>
      </c>
      <c r="AV34">
        <f t="shared" si="7"/>
        <v>7.3690786503572858E-2</v>
      </c>
      <c r="AW34">
        <f t="shared" si="12"/>
        <v>0.11078001540982774</v>
      </c>
      <c r="BA34">
        <f t="shared" si="22"/>
        <v>0.16669598453232848</v>
      </c>
      <c r="BB34">
        <f t="shared" si="8"/>
        <v>0.14982541455333315</v>
      </c>
      <c r="BC34">
        <f t="shared" si="13"/>
        <v>0.20673150770661844</v>
      </c>
    </row>
    <row r="35" spans="1:55" x14ac:dyDescent="0.3">
      <c r="A35">
        <f t="shared" si="14"/>
        <v>25</v>
      </c>
      <c r="C35" s="7"/>
      <c r="D35" s="7"/>
      <c r="E35" s="7">
        <v>99883.470062471213</v>
      </c>
      <c r="F35" s="7">
        <v>99631.178315511308</v>
      </c>
      <c r="G35" s="7">
        <v>99425.372862113407</v>
      </c>
      <c r="K35">
        <f t="shared" si="23"/>
        <v>0.10151765629019668</v>
      </c>
      <c r="L35">
        <f t="shared" si="15"/>
        <v>0.1088333273146642</v>
      </c>
      <c r="M35">
        <f t="shared" si="16"/>
        <v>3.1131855059763288E-2</v>
      </c>
      <c r="Q35">
        <f t="shared" si="17"/>
        <v>99883.470062471213</v>
      </c>
      <c r="R35">
        <f t="shared" si="0"/>
        <v>99631.178315511308</v>
      </c>
      <c r="S35">
        <f t="shared" si="0"/>
        <v>99425.372862113407</v>
      </c>
      <c r="W35">
        <f t="shared" si="18"/>
        <v>6617262.1672651321</v>
      </c>
      <c r="X35">
        <f t="shared" si="1"/>
        <v>6800919.7487673657</v>
      </c>
      <c r="Y35">
        <f t="shared" si="2"/>
        <v>5553703.3440833213</v>
      </c>
      <c r="AC35">
        <f t="shared" si="19"/>
        <v>605404837917.29895</v>
      </c>
      <c r="AD35">
        <f t="shared" si="3"/>
        <v>626979861696.66882</v>
      </c>
      <c r="AE35">
        <f t="shared" si="4"/>
        <v>490098498499.1192</v>
      </c>
      <c r="AI35">
        <f t="shared" si="5"/>
        <v>225439995.04056916</v>
      </c>
      <c r="AJ35">
        <f t="shared" si="5"/>
        <v>237460316.30948055</v>
      </c>
      <c r="AK35">
        <f t="shared" si="10"/>
        <v>161916343.94756398</v>
      </c>
      <c r="AO35">
        <f t="shared" si="20"/>
        <v>66.249822549481166</v>
      </c>
      <c r="AP35">
        <f t="shared" si="6"/>
        <v>68.260958705419114</v>
      </c>
      <c r="AQ35">
        <f t="shared" si="11"/>
        <v>55.858008717607646</v>
      </c>
      <c r="AU35">
        <f t="shared" si="21"/>
        <v>8.4045450326693194E-2</v>
      </c>
      <c r="AV35">
        <f t="shared" si="7"/>
        <v>7.4682715022365453E-2</v>
      </c>
      <c r="AW35">
        <f t="shared" si="12"/>
        <v>0.11242826032280351</v>
      </c>
      <c r="BA35">
        <f t="shared" si="22"/>
        <v>0.16877457213761202</v>
      </c>
      <c r="BB35">
        <f t="shared" si="8"/>
        <v>0.15169920852730409</v>
      </c>
      <c r="BC35">
        <f t="shared" si="13"/>
        <v>0.20948689750635682</v>
      </c>
    </row>
    <row r="36" spans="1:55" x14ac:dyDescent="0.3">
      <c r="A36">
        <f t="shared" si="14"/>
        <v>26</v>
      </c>
      <c r="C36" s="7"/>
      <c r="D36" s="7"/>
      <c r="E36" s="7">
        <v>99867.79896132127</v>
      </c>
      <c r="F36" s="7">
        <v>99620.736368819315</v>
      </c>
      <c r="G36" s="7">
        <v>99387.004217918991</v>
      </c>
      <c r="K36">
        <f t="shared" si="23"/>
        <v>2.6439152933342213E-2</v>
      </c>
      <c r="L36">
        <f t="shared" si="15"/>
        <v>4.2369761287673065E-2</v>
      </c>
      <c r="M36">
        <f t="shared" si="16"/>
        <v>2.841845783796099E-2</v>
      </c>
      <c r="Q36">
        <f t="shared" si="17"/>
        <v>99867.79896132127</v>
      </c>
      <c r="R36">
        <f t="shared" si="0"/>
        <v>99620.736368819315</v>
      </c>
      <c r="S36">
        <f t="shared" si="0"/>
        <v>99387.004217918991</v>
      </c>
      <c r="W36">
        <f t="shared" si="18"/>
        <v>6517386.5327532357</v>
      </c>
      <c r="X36">
        <f t="shared" si="1"/>
        <v>6701293.7914252002</v>
      </c>
      <c r="Y36">
        <f t="shared" si="2"/>
        <v>5454297.155543305</v>
      </c>
      <c r="AC36">
        <f t="shared" si="19"/>
        <v>595429695527.67981</v>
      </c>
      <c r="AD36">
        <f t="shared" si="3"/>
        <v>617054530311.23975</v>
      </c>
      <c r="AE36">
        <f t="shared" si="4"/>
        <v>480216908056.38654</v>
      </c>
      <c r="AI36">
        <f t="shared" si="5"/>
        <v>218872671.99648508</v>
      </c>
      <c r="AJ36">
        <f t="shared" si="5"/>
        <v>230709210.40954649</v>
      </c>
      <c r="AK36">
        <f t="shared" si="10"/>
        <v>156412346.8951377</v>
      </c>
      <c r="AO36">
        <f t="shared" si="20"/>
        <v>65.260139910337017</v>
      </c>
      <c r="AP36">
        <f t="shared" si="6"/>
        <v>67.268061205805992</v>
      </c>
      <c r="AQ36">
        <f t="shared" si="11"/>
        <v>54.879379839078815</v>
      </c>
      <c r="AU36">
        <f t="shared" si="21"/>
        <v>8.5188673726305564E-2</v>
      </c>
      <c r="AV36">
        <f t="shared" si="7"/>
        <v>7.5695346948420283E-2</v>
      </c>
      <c r="AW36">
        <f t="shared" si="12"/>
        <v>0.11413192244733972</v>
      </c>
      <c r="BA36">
        <f t="shared" si="22"/>
        <v>0.1708820063299053</v>
      </c>
      <c r="BB36">
        <f t="shared" si="8"/>
        <v>0.15360053181613573</v>
      </c>
      <c r="BC36">
        <f t="shared" si="13"/>
        <v>0.21234035397530013</v>
      </c>
    </row>
    <row r="37" spans="1:55" x14ac:dyDescent="0.3">
      <c r="A37">
        <f t="shared" si="14"/>
        <v>27</v>
      </c>
      <c r="C37" s="7"/>
      <c r="D37" s="7"/>
      <c r="E37" s="7">
        <v>99851.710562050954</v>
      </c>
      <c r="F37" s="7">
        <v>99609.843659327249</v>
      </c>
      <c r="G37" s="7">
        <v>99347.545007717257</v>
      </c>
      <c r="K37">
        <f t="shared" si="23"/>
        <v>8.5269358326242745E-2</v>
      </c>
      <c r="L37">
        <f t="shared" si="15"/>
        <v>9.4686475163157813E-2</v>
      </c>
      <c r="M37">
        <f t="shared" si="16"/>
        <v>-3.3127816204920411E-2</v>
      </c>
      <c r="Q37">
        <f t="shared" si="17"/>
        <v>99851.710562050954</v>
      </c>
      <c r="R37">
        <f t="shared" si="0"/>
        <v>99609.843659327249</v>
      </c>
      <c r="S37">
        <f t="shared" si="0"/>
        <v>99347.545007717257</v>
      </c>
      <c r="W37">
        <f t="shared" si="18"/>
        <v>6417526.77799155</v>
      </c>
      <c r="X37">
        <f t="shared" si="1"/>
        <v>6601678.5014111269</v>
      </c>
      <c r="Y37">
        <f t="shared" si="2"/>
        <v>5354929.8809304871</v>
      </c>
      <c r="AC37">
        <f t="shared" si="19"/>
        <v>585457724885.04602</v>
      </c>
      <c r="AD37">
        <f t="shared" si="3"/>
        <v>607131324296.76428</v>
      </c>
      <c r="AE37">
        <f t="shared" si="4"/>
        <v>470343052662.65491</v>
      </c>
      <c r="AI37">
        <f t="shared" si="5"/>
        <v>212405216.68181261</v>
      </c>
      <c r="AJ37">
        <f t="shared" si="5"/>
        <v>224057725.17085412</v>
      </c>
      <c r="AK37">
        <f t="shared" si="10"/>
        <v>151007736.66516832</v>
      </c>
      <c r="AO37">
        <f t="shared" si="20"/>
        <v>64.270574253242259</v>
      </c>
      <c r="AP37">
        <f t="shared" si="6"/>
        <v>66.275362543378108</v>
      </c>
      <c r="AQ37">
        <f t="shared" si="11"/>
        <v>53.900978433986658</v>
      </c>
      <c r="AU37">
        <f t="shared" si="21"/>
        <v>8.6365812785178964E-2</v>
      </c>
      <c r="AV37">
        <f t="shared" si="7"/>
        <v>7.6735767129446852E-2</v>
      </c>
      <c r="AW37">
        <f t="shared" si="12"/>
        <v>0.1158950839701467</v>
      </c>
      <c r="BA37">
        <f t="shared" si="22"/>
        <v>0.17305494619299519</v>
      </c>
      <c r="BB37">
        <f t="shared" si="8"/>
        <v>0.15555336328686928</v>
      </c>
      <c r="BC37">
        <f t="shared" si="13"/>
        <v>0.2153004508479579</v>
      </c>
    </row>
    <row r="38" spans="1:55" x14ac:dyDescent="0.3">
      <c r="A38">
        <f t="shared" si="14"/>
        <v>28</v>
      </c>
      <c r="C38" s="7"/>
      <c r="D38" s="7"/>
      <c r="E38" s="7">
        <v>99834.193076640324</v>
      </c>
      <c r="F38" s="7">
        <v>99597.870524098762</v>
      </c>
      <c r="G38" s="7">
        <v>99309.386488785531</v>
      </c>
      <c r="K38">
        <f t="shared" si="23"/>
        <v>9.554132963953621E-2</v>
      </c>
      <c r="L38">
        <f t="shared" si="15"/>
        <v>0.10627932352400782</v>
      </c>
      <c r="M38">
        <f t="shared" si="16"/>
        <v>8.5492631263342431E-2</v>
      </c>
      <c r="Q38">
        <f t="shared" si="17"/>
        <v>99834.193076640324</v>
      </c>
      <c r="R38">
        <f t="shared" si="0"/>
        <v>99597.870524098762</v>
      </c>
      <c r="S38">
        <f t="shared" si="0"/>
        <v>99309.386488785531</v>
      </c>
      <c r="W38">
        <f t="shared" si="18"/>
        <v>6317683.8261722047</v>
      </c>
      <c r="X38">
        <f t="shared" si="1"/>
        <v>6502074.6443194142</v>
      </c>
      <c r="Y38">
        <f t="shared" si="2"/>
        <v>5255601.4151822357</v>
      </c>
      <c r="AC38">
        <f t="shared" si="19"/>
        <v>575489109831.474</v>
      </c>
      <c r="AD38">
        <f t="shared" si="3"/>
        <v>597210395937.27161</v>
      </c>
      <c r="AE38">
        <f t="shared" si="4"/>
        <v>460476908433.414</v>
      </c>
      <c r="AI38">
        <f t="shared" si="5"/>
        <v>206037612.8395212</v>
      </c>
      <c r="AJ38">
        <f t="shared" si="5"/>
        <v>217505849.59575012</v>
      </c>
      <c r="AK38">
        <f t="shared" si="10"/>
        <v>145702474.19698852</v>
      </c>
      <c r="AO38">
        <f t="shared" si="20"/>
        <v>63.281763807338734</v>
      </c>
      <c r="AP38">
        <f t="shared" si="6"/>
        <v>65.283269713544414</v>
      </c>
      <c r="AQ38">
        <f t="shared" si="11"/>
        <v>52.921497161557049</v>
      </c>
      <c r="AU38">
        <f t="shared" si="21"/>
        <v>8.7569256015423425E-2</v>
      </c>
      <c r="AV38">
        <f t="shared" si="7"/>
        <v>7.7799496096120246E-2</v>
      </c>
      <c r="AW38">
        <f t="shared" si="12"/>
        <v>0.11774295159052617</v>
      </c>
      <c r="BA38">
        <f t="shared" si="22"/>
        <v>0.1752667437187084</v>
      </c>
      <c r="BB38">
        <f t="shared" si="8"/>
        <v>0.15753986874146414</v>
      </c>
      <c r="BC38">
        <f t="shared" si="13"/>
        <v>0.21843331438566271</v>
      </c>
    </row>
    <row r="39" spans="1:55" x14ac:dyDescent="0.3">
      <c r="A39">
        <f t="shared" si="14"/>
        <v>29</v>
      </c>
      <c r="C39" s="7"/>
      <c r="D39" s="7"/>
      <c r="E39" s="7">
        <v>99814.922938846314</v>
      </c>
      <c r="F39" s="7">
        <v>99584.556501831335</v>
      </c>
      <c r="G39" s="7">
        <v>99267.838863888552</v>
      </c>
      <c r="K39">
        <f t="shared" si="23"/>
        <v>6.7861469081951564E-2</v>
      </c>
      <c r="L39">
        <f t="shared" si="15"/>
        <v>7.2955169104740869E-2</v>
      </c>
      <c r="M39">
        <f t="shared" si="16"/>
        <v>4.4656450854972045E-2</v>
      </c>
      <c r="Q39">
        <f t="shared" si="17"/>
        <v>99814.922938846314</v>
      </c>
      <c r="R39">
        <f t="shared" si="0"/>
        <v>99584.556501831335</v>
      </c>
      <c r="S39">
        <f t="shared" si="0"/>
        <v>99267.838863888552</v>
      </c>
      <c r="W39">
        <f t="shared" si="18"/>
        <v>6217859.2681644615</v>
      </c>
      <c r="X39">
        <f t="shared" si="1"/>
        <v>6402483.4308064487</v>
      </c>
      <c r="Y39">
        <f t="shared" si="2"/>
        <v>5156312.8025058983</v>
      </c>
      <c r="AC39">
        <f t="shared" si="19"/>
        <v>565524167419.08789</v>
      </c>
      <c r="AD39">
        <f t="shared" si="3"/>
        <v>587291986113.51465</v>
      </c>
      <c r="AE39">
        <f t="shared" si="4"/>
        <v>450618679682.37189</v>
      </c>
      <c r="AI39">
        <f t="shared" si="5"/>
        <v>199769842.89819768</v>
      </c>
      <c r="AJ39">
        <f t="shared" si="5"/>
        <v>211053571.66768903</v>
      </c>
      <c r="AK39">
        <f t="shared" si="10"/>
        <v>140496520.55044651</v>
      </c>
      <c r="AO39">
        <f t="shared" si="20"/>
        <v>62.29388437211901</v>
      </c>
      <c r="AP39">
        <f t="shared" si="6"/>
        <v>64.291930955064387</v>
      </c>
      <c r="AQ39">
        <f t="shared" si="11"/>
        <v>51.943437688574996</v>
      </c>
      <c r="AU39">
        <f t="shared" si="21"/>
        <v>8.8797704798192489E-2</v>
      </c>
      <c r="AV39">
        <f t="shared" si="7"/>
        <v>7.8885502147805875E-2</v>
      </c>
      <c r="AW39">
        <f t="shared" si="12"/>
        <v>0.11963783823880791</v>
      </c>
      <c r="BA39">
        <f t="shared" si="22"/>
        <v>0.1775117706582339</v>
      </c>
      <c r="BB39">
        <f t="shared" si="8"/>
        <v>0.15955482945662619</v>
      </c>
      <c r="BC39">
        <f t="shared" si="13"/>
        <v>0.22163279855264942</v>
      </c>
    </row>
    <row r="40" spans="1:55" x14ac:dyDescent="0.3">
      <c r="A40">
        <f t="shared" si="14"/>
        <v>30</v>
      </c>
      <c r="C40" s="7"/>
      <c r="D40" s="7"/>
      <c r="E40" s="7">
        <v>99794.303829478726</v>
      </c>
      <c r="F40" s="7">
        <v>99570.236830503476</v>
      </c>
      <c r="G40" s="7">
        <v>99224.412409630531</v>
      </c>
      <c r="K40">
        <f t="shared" si="23"/>
        <v>2.7578697063320817E-2</v>
      </c>
      <c r="L40">
        <f t="shared" si="15"/>
        <v>2.1202525197059591E-2</v>
      </c>
      <c r="M40">
        <f t="shared" si="16"/>
        <v>3.8215951937296054E-3</v>
      </c>
      <c r="Q40">
        <f t="shared" si="17"/>
        <v>99794.303829478726</v>
      </c>
      <c r="R40">
        <f t="shared" si="0"/>
        <v>99570.236830503476</v>
      </c>
      <c r="S40">
        <f t="shared" si="0"/>
        <v>99224.412409630531</v>
      </c>
      <c r="W40">
        <f t="shared" si="18"/>
        <v>6118054.6547802994</v>
      </c>
      <c r="X40">
        <f t="shared" si="1"/>
        <v>6302906.0341402814</v>
      </c>
      <c r="Y40">
        <f t="shared" si="2"/>
        <v>5057066.6768691391</v>
      </c>
      <c r="AC40">
        <f t="shared" si="19"/>
        <v>555563206530.89673</v>
      </c>
      <c r="AD40">
        <f t="shared" si="3"/>
        <v>577376328169.6156</v>
      </c>
      <c r="AE40">
        <f t="shared" si="4"/>
        <v>440768886071.30969</v>
      </c>
      <c r="AI40">
        <f t="shared" si="5"/>
        <v>193601887.65498441</v>
      </c>
      <c r="AJ40">
        <f t="shared" si="5"/>
        <v>204700878.12852159</v>
      </c>
      <c r="AK40">
        <f t="shared" si="10"/>
        <v>135389834.42963019</v>
      </c>
      <c r="AO40">
        <f t="shared" si="20"/>
        <v>61.306651983207253</v>
      </c>
      <c r="AP40">
        <f t="shared" si="6"/>
        <v>63.301105177339274</v>
      </c>
      <c r="AQ40">
        <f t="shared" si="11"/>
        <v>50.96595237059131</v>
      </c>
      <c r="AU40">
        <f t="shared" si="21"/>
        <v>9.0056618208775419E-2</v>
      </c>
      <c r="AV40">
        <f t="shared" si="7"/>
        <v>7.9998359810685038E-2</v>
      </c>
      <c r="AW40">
        <f t="shared" si="12"/>
        <v>0.12159719393999346</v>
      </c>
      <c r="BA40">
        <f t="shared" si="22"/>
        <v>0.17980599827630098</v>
      </c>
      <c r="BB40">
        <f t="shared" si="8"/>
        <v>0.16161261945745997</v>
      </c>
      <c r="BC40">
        <f t="shared" si="13"/>
        <v>0.22494353696303571</v>
      </c>
    </row>
    <row r="41" spans="1:55" x14ac:dyDescent="0.3">
      <c r="A41">
        <f t="shared" si="14"/>
        <v>31</v>
      </c>
      <c r="C41" s="7"/>
      <c r="D41" s="7"/>
      <c r="E41" s="7">
        <v>99773.11259773848</v>
      </c>
      <c r="F41" s="7">
        <v>99555.61243017175</v>
      </c>
      <c r="G41" s="7">
        <v>99180.838786428314</v>
      </c>
      <c r="K41">
        <f t="shared" si="23"/>
        <v>2.6681934738143905E-2</v>
      </c>
      <c r="L41">
        <f t="shared" si="15"/>
        <v>2.7068391783061925E-2</v>
      </c>
      <c r="M41">
        <f t="shared" si="16"/>
        <v>8.8499647202784387E-2</v>
      </c>
      <c r="Q41">
        <f t="shared" si="17"/>
        <v>99773.11259773848</v>
      </c>
      <c r="R41">
        <f t="shared" si="0"/>
        <v>99555.61243017175</v>
      </c>
      <c r="S41">
        <f t="shared" si="0"/>
        <v>99180.838786428314</v>
      </c>
      <c r="W41">
        <f t="shared" si="18"/>
        <v>6018270.9465666907</v>
      </c>
      <c r="X41">
        <f t="shared" si="1"/>
        <v>6203343.109509944</v>
      </c>
      <c r="Y41">
        <f t="shared" si="2"/>
        <v>4957864.0512711098</v>
      </c>
      <c r="AC41">
        <f t="shared" si="19"/>
        <v>545606418068.61578</v>
      </c>
      <c r="AD41">
        <f t="shared" si="3"/>
        <v>567463552190.84656</v>
      </c>
      <c r="AE41">
        <f t="shared" si="4"/>
        <v>430927724987.54517</v>
      </c>
      <c r="AI41">
        <f t="shared" si="5"/>
        <v>187533726.62024689</v>
      </c>
      <c r="AJ41">
        <f t="shared" si="5"/>
        <v>198447754.7753965</v>
      </c>
      <c r="AK41">
        <f t="shared" si="10"/>
        <v>130382372.69669534</v>
      </c>
      <c r="AO41">
        <f t="shared" si="20"/>
        <v>60.319566964207397</v>
      </c>
      <c r="AP41">
        <f t="shared" si="6"/>
        <v>62.310330458375368</v>
      </c>
      <c r="AQ41">
        <f t="shared" si="11"/>
        <v>49.988123834555964</v>
      </c>
      <c r="AU41">
        <f t="shared" si="21"/>
        <v>9.1355058277975965E-2</v>
      </c>
      <c r="AV41">
        <f t="shared" si="7"/>
        <v>8.1146188551379228E-2</v>
      </c>
      <c r="AW41">
        <f t="shared" si="12"/>
        <v>0.12364101065408961</v>
      </c>
      <c r="BA41">
        <f t="shared" si="22"/>
        <v>0.18217622918390661</v>
      </c>
      <c r="BB41">
        <f t="shared" si="8"/>
        <v>0.16373931640941305</v>
      </c>
      <c r="BC41">
        <f t="shared" si="13"/>
        <v>0.22841553869857997</v>
      </c>
    </row>
    <row r="42" spans="1:55" x14ac:dyDescent="0.3">
      <c r="A42">
        <f t="shared" si="14"/>
        <v>32</v>
      </c>
      <c r="C42" s="7"/>
      <c r="D42" s="7"/>
      <c r="E42" s="7">
        <v>99751.35301620586</v>
      </c>
      <c r="F42" s="7">
        <v>99540.589001710716</v>
      </c>
      <c r="G42" s="7">
        <v>99133.254999960962</v>
      </c>
      <c r="K42">
        <f t="shared" si="23"/>
        <v>1.668468999547161E-2</v>
      </c>
      <c r="L42">
        <f t="shared" si="15"/>
        <v>1.3349569717529354E-2</v>
      </c>
      <c r="M42">
        <f t="shared" si="16"/>
        <v>7.0663517174734278E-2</v>
      </c>
      <c r="Q42">
        <f t="shared" si="17"/>
        <v>99751.35301620586</v>
      </c>
      <c r="R42">
        <f t="shared" si="0"/>
        <v>99540.589001710716</v>
      </c>
      <c r="S42">
        <f t="shared" si="0"/>
        <v>99133.254999960962</v>
      </c>
      <c r="W42">
        <f t="shared" si="18"/>
        <v>5918508.7137597185</v>
      </c>
      <c r="X42">
        <f t="shared" si="1"/>
        <v>6103795.0087940022</v>
      </c>
      <c r="Y42">
        <f t="shared" si="2"/>
        <v>4858707.0043779146</v>
      </c>
      <c r="AC42">
        <f t="shared" si="19"/>
        <v>535653914934.52667</v>
      </c>
      <c r="AD42">
        <f t="shared" si="3"/>
        <v>557553727815.88672</v>
      </c>
      <c r="AE42">
        <f t="shared" si="4"/>
        <v>421095604850.28125</v>
      </c>
      <c r="AI42">
        <f t="shared" si="5"/>
        <v>181565338.60338214</v>
      </c>
      <c r="AJ42">
        <f t="shared" si="5"/>
        <v>192294186.9681969</v>
      </c>
      <c r="AK42">
        <f t="shared" si="10"/>
        <v>125474091.13418637</v>
      </c>
      <c r="AO42">
        <f t="shared" si="20"/>
        <v>59.332615897432312</v>
      </c>
      <c r="AP42">
        <f t="shared" si="6"/>
        <v>61.319659347094095</v>
      </c>
      <c r="AQ42">
        <f t="shared" si="11"/>
        <v>49.011878046169549</v>
      </c>
      <c r="AU42">
        <f t="shared" si="21"/>
        <v>9.269522415041942E-2</v>
      </c>
      <c r="AV42">
        <f t="shared" si="7"/>
        <v>8.2329907687561321E-2</v>
      </c>
      <c r="AW42">
        <f t="shared" si="12"/>
        <v>0.12573995337889043</v>
      </c>
      <c r="BA42">
        <f t="shared" si="22"/>
        <v>0.18462712452850363</v>
      </c>
      <c r="BB42">
        <f t="shared" si="8"/>
        <v>0.16593569670326955</v>
      </c>
      <c r="BC42">
        <f t="shared" si="13"/>
        <v>0.23196817334151862</v>
      </c>
    </row>
    <row r="43" spans="1:55" x14ac:dyDescent="0.3">
      <c r="A43">
        <f t="shared" si="14"/>
        <v>33</v>
      </c>
      <c r="C43" s="7"/>
      <c r="D43" s="7"/>
      <c r="E43" s="7">
        <v>99729.232203172462</v>
      </c>
      <c r="F43" s="7">
        <v>99525.365985310738</v>
      </c>
      <c r="G43" s="7">
        <v>99082.212523910624</v>
      </c>
      <c r="K43">
        <f t="shared" si="23"/>
        <v>0.1154690692742045</v>
      </c>
      <c r="L43">
        <f t="shared" si="15"/>
        <v>0.1180844300745534</v>
      </c>
      <c r="M43">
        <f t="shared" si="16"/>
        <v>1.6909679894453807E-2</v>
      </c>
      <c r="Q43">
        <f t="shared" si="17"/>
        <v>99729.232203172462</v>
      </c>
      <c r="R43">
        <f t="shared" si="0"/>
        <v>99525.365985310738</v>
      </c>
      <c r="S43">
        <f t="shared" si="0"/>
        <v>99082.212523910624</v>
      </c>
      <c r="W43">
        <f t="shared" si="18"/>
        <v>5818768.4211500296</v>
      </c>
      <c r="X43">
        <f t="shared" si="1"/>
        <v>6004262.0313004907</v>
      </c>
      <c r="Y43">
        <f t="shared" si="2"/>
        <v>4759599.2706159782</v>
      </c>
      <c r="AC43">
        <f t="shared" si="19"/>
        <v>525705788923.88275</v>
      </c>
      <c r="AD43">
        <f t="shared" si="3"/>
        <v>547646914187.85138</v>
      </c>
      <c r="AE43">
        <f t="shared" si="4"/>
        <v>411273261741.74329</v>
      </c>
      <c r="AI43">
        <f t="shared" si="5"/>
        <v>175696701.87932834</v>
      </c>
      <c r="AJ43">
        <f t="shared" si="5"/>
        <v>186240159.71673435</v>
      </c>
      <c r="AK43">
        <f t="shared" si="10"/>
        <v>120664942.25022909</v>
      </c>
      <c r="AO43">
        <f t="shared" si="20"/>
        <v>58.345665484476982</v>
      </c>
      <c r="AP43">
        <f t="shared" si="6"/>
        <v>60.328962087782514</v>
      </c>
      <c r="AQ43">
        <f t="shared" si="11"/>
        <v>48.036869074430356</v>
      </c>
      <c r="AU43">
        <f t="shared" si="21"/>
        <v>9.4081328830430078E-2</v>
      </c>
      <c r="AV43">
        <f t="shared" si="7"/>
        <v>8.3553272757887487E-2</v>
      </c>
      <c r="AW43">
        <f t="shared" si="12"/>
        <v>0.12790380773060217</v>
      </c>
      <c r="BA43">
        <f t="shared" si="22"/>
        <v>0.18716937172500744</v>
      </c>
      <c r="BB43">
        <f t="shared" si="8"/>
        <v>0.16821199548068932</v>
      </c>
      <c r="BC43">
        <f t="shared" si="13"/>
        <v>0.23562453168417738</v>
      </c>
    </row>
    <row r="44" spans="1:55" x14ac:dyDescent="0.3">
      <c r="A44">
        <f t="shared" si="14"/>
        <v>34</v>
      </c>
      <c r="C44" s="7"/>
      <c r="D44" s="7"/>
      <c r="E44" s="7">
        <v>99704.409649949201</v>
      </c>
      <c r="F44" s="7">
        <v>99508.23771350387</v>
      </c>
      <c r="G44" s="7">
        <v>99030.326554301893</v>
      </c>
      <c r="K44">
        <f t="shared" si="23"/>
        <v>0.12758308684740804</v>
      </c>
      <c r="L44">
        <f t="shared" si="15"/>
        <v>0.13964776776183724</v>
      </c>
      <c r="M44">
        <f t="shared" si="16"/>
        <v>5.5203589682454118E-2</v>
      </c>
      <c r="Q44">
        <f t="shared" si="17"/>
        <v>99704.409649949201</v>
      </c>
      <c r="R44">
        <f t="shared" si="0"/>
        <v>99508.23771350387</v>
      </c>
      <c r="S44">
        <f t="shared" si="0"/>
        <v>99030.326554301893</v>
      </c>
      <c r="W44">
        <f t="shared" si="18"/>
        <v>5719051.6002234686</v>
      </c>
      <c r="X44">
        <f t="shared" si="1"/>
        <v>5904745.2294510826</v>
      </c>
      <c r="Y44">
        <f t="shared" si="2"/>
        <v>4660543.0010768715</v>
      </c>
      <c r="AC44">
        <f t="shared" si="19"/>
        <v>515762344496.83636</v>
      </c>
      <c r="AD44">
        <f t="shared" si="3"/>
        <v>537743320313.06903</v>
      </c>
      <c r="AE44">
        <f t="shared" si="4"/>
        <v>401461116982.39307</v>
      </c>
      <c r="AI44">
        <f t="shared" si="5"/>
        <v>169927793.93718767</v>
      </c>
      <c r="AJ44">
        <f t="shared" si="5"/>
        <v>180285657.51371455</v>
      </c>
      <c r="AK44">
        <f t="shared" si="10"/>
        <v>115954875.43821347</v>
      </c>
      <c r="AO44">
        <f t="shared" si="20"/>
        <v>57.360066824550749</v>
      </c>
      <c r="AP44">
        <f t="shared" si="6"/>
        <v>59.339260398235083</v>
      </c>
      <c r="AQ44">
        <f t="shared" si="11"/>
        <v>47.061775551364342</v>
      </c>
      <c r="AU44">
        <f t="shared" si="21"/>
        <v>9.5494420857724638E-2</v>
      </c>
      <c r="AV44">
        <f t="shared" si="7"/>
        <v>8.4802499207231263E-2</v>
      </c>
      <c r="AW44">
        <f t="shared" si="12"/>
        <v>0.1301612357200127</v>
      </c>
      <c r="BA44">
        <f t="shared" si="22"/>
        <v>0.18974292022633488</v>
      </c>
      <c r="BB44">
        <f t="shared" si="8"/>
        <v>0.17051985664099403</v>
      </c>
      <c r="BC44">
        <f t="shared" si="13"/>
        <v>0.23945527797362121</v>
      </c>
    </row>
    <row r="45" spans="1:55" x14ac:dyDescent="0.3">
      <c r="A45">
        <f t="shared" si="14"/>
        <v>35</v>
      </c>
      <c r="C45" s="7"/>
      <c r="D45" s="7"/>
      <c r="E45" s="7">
        <v>99676.216758663824</v>
      </c>
      <c r="F45" s="7">
        <v>99488.546093261844</v>
      </c>
      <c r="G45" s="7">
        <v>98975.525285766562</v>
      </c>
      <c r="K45">
        <f t="shared" si="23"/>
        <v>3.9739908226642848E-2</v>
      </c>
      <c r="L45">
        <f t="shared" si="15"/>
        <v>3.7277863863426297E-2</v>
      </c>
      <c r="M45">
        <f t="shared" si="16"/>
        <v>7.8336763143514593E-2</v>
      </c>
      <c r="Q45">
        <f t="shared" si="17"/>
        <v>99676.216758663824</v>
      </c>
      <c r="R45">
        <f t="shared" si="0"/>
        <v>99488.546093261844</v>
      </c>
      <c r="S45">
        <f t="shared" si="0"/>
        <v>98975.525285766562</v>
      </c>
      <c r="W45">
        <f t="shared" si="18"/>
        <v>5619361.2870191615</v>
      </c>
      <c r="X45">
        <f t="shared" si="1"/>
        <v>5805246.837547699</v>
      </c>
      <c r="Y45">
        <f t="shared" si="2"/>
        <v>4561540.0751568368</v>
      </c>
      <c r="AC45">
        <f t="shared" si="19"/>
        <v>505824185883.82703</v>
      </c>
      <c r="AD45">
        <f t="shared" si="3"/>
        <v>527843390289.39655</v>
      </c>
      <c r="AE45">
        <f t="shared" si="4"/>
        <v>391659537391.40039</v>
      </c>
      <c r="AI45">
        <f t="shared" si="5"/>
        <v>164258589.84297395</v>
      </c>
      <c r="AJ45">
        <f t="shared" si="5"/>
        <v>174430663.12118351</v>
      </c>
      <c r="AK45">
        <f t="shared" si="10"/>
        <v>111343838.466869</v>
      </c>
      <c r="AO45">
        <f t="shared" si="20"/>
        <v>56.376149394040162</v>
      </c>
      <c r="AP45">
        <f t="shared" si="6"/>
        <v>58.350906365701491</v>
      </c>
      <c r="AQ45">
        <f t="shared" si="11"/>
        <v>46.087556110326815</v>
      </c>
      <c r="AU45">
        <f t="shared" si="21"/>
        <v>9.6930675976218961E-2</v>
      </c>
      <c r="AV45">
        <f t="shared" si="7"/>
        <v>8.6073410215777191E-2</v>
      </c>
      <c r="AW45">
        <f t="shared" si="12"/>
        <v>0.13250017351811516</v>
      </c>
      <c r="BA45">
        <f t="shared" si="22"/>
        <v>0.19233500121240782</v>
      </c>
      <c r="BB45">
        <f t="shared" si="8"/>
        <v>0.17284396121939477</v>
      </c>
      <c r="BC45">
        <f t="shared" si="13"/>
        <v>0.24342594425879732</v>
      </c>
    </row>
    <row r="46" spans="1:55" x14ac:dyDescent="0.3">
      <c r="A46">
        <f t="shared" si="14"/>
        <v>36</v>
      </c>
      <c r="C46" s="7"/>
      <c r="D46" s="7"/>
      <c r="E46" s="7">
        <v>99646.889387909789</v>
      </c>
      <c r="F46" s="7">
        <v>99468.110679317339</v>
      </c>
      <c r="G46" s="7">
        <v>98916.292569856567</v>
      </c>
      <c r="K46">
        <f t="shared" si="23"/>
        <v>7.2931428326747594E-2</v>
      </c>
      <c r="L46">
        <f t="shared" si="15"/>
        <v>6.9772292316402806E-2</v>
      </c>
      <c r="M46">
        <f t="shared" si="16"/>
        <v>4.147907046253986E-2</v>
      </c>
      <c r="Q46">
        <f t="shared" si="17"/>
        <v>99646.889387909789</v>
      </c>
      <c r="R46">
        <f t="shared" si="0"/>
        <v>99468.110679317339</v>
      </c>
      <c r="S46">
        <f t="shared" si="0"/>
        <v>98916.292569856567</v>
      </c>
      <c r="W46">
        <f t="shared" si="18"/>
        <v>5519699.7339458745</v>
      </c>
      <c r="X46">
        <f t="shared" si="1"/>
        <v>5705768.509161409</v>
      </c>
      <c r="Y46">
        <f t="shared" si="2"/>
        <v>4462594.1662290245</v>
      </c>
      <c r="AC46">
        <f t="shared" si="19"/>
        <v>495891760651.17291</v>
      </c>
      <c r="AD46">
        <f t="shared" si="3"/>
        <v>517947452436.06555</v>
      </c>
      <c r="AE46">
        <f t="shared" si="4"/>
        <v>381869244205.47339</v>
      </c>
      <c r="AI46">
        <f t="shared" si="5"/>
        <v>158689061.77643898</v>
      </c>
      <c r="AJ46">
        <f t="shared" si="5"/>
        <v>168675157.15078011</v>
      </c>
      <c r="AK46">
        <f t="shared" si="10"/>
        <v>106831776.28223573</v>
      </c>
      <c r="AO46">
        <f t="shared" si="20"/>
        <v>55.392594468840315</v>
      </c>
      <c r="AP46">
        <f t="shared" si="6"/>
        <v>57.36279165446966</v>
      </c>
      <c r="AQ46">
        <f t="shared" si="11"/>
        <v>45.114854694715291</v>
      </c>
      <c r="AU46">
        <f t="shared" si="21"/>
        <v>9.8412891803826952E-2</v>
      </c>
      <c r="AV46">
        <f t="shared" si="7"/>
        <v>8.738482783140944E-2</v>
      </c>
      <c r="AW46">
        <f t="shared" si="12"/>
        <v>0.13491365314567194</v>
      </c>
      <c r="BA46">
        <f t="shared" si="22"/>
        <v>0.19501234634697551</v>
      </c>
      <c r="BB46">
        <f t="shared" si="8"/>
        <v>0.1752440628907373</v>
      </c>
      <c r="BC46">
        <f t="shared" si="13"/>
        <v>0.24751593432515803</v>
      </c>
    </row>
    <row r="47" spans="1:55" x14ac:dyDescent="0.3">
      <c r="A47">
        <f t="shared" si="14"/>
        <v>37</v>
      </c>
      <c r="C47" s="7"/>
      <c r="D47" s="7">
        <v>100000</v>
      </c>
      <c r="E47" s="7">
        <v>99615.352835631405</v>
      </c>
      <c r="F47" s="7">
        <v>99446.20318427161</v>
      </c>
      <c r="G47" s="7">
        <v>98854.589000421081</v>
      </c>
      <c r="K47">
        <f t="shared" si="23"/>
        <v>0.11989666733648706</v>
      </c>
      <c r="L47">
        <f t="shared" si="15"/>
        <v>0.13208408194770008</v>
      </c>
      <c r="M47">
        <f t="shared" si="16"/>
        <v>6.9355988747900416E-2</v>
      </c>
      <c r="P47">
        <f t="shared" ref="P47:S75" si="24">D47</f>
        <v>100000</v>
      </c>
      <c r="Q47">
        <f t="shared" si="17"/>
        <v>99615.352835631405</v>
      </c>
      <c r="R47">
        <f t="shared" si="0"/>
        <v>99446.20318427161</v>
      </c>
      <c r="S47">
        <f t="shared" si="0"/>
        <v>98854.589000421081</v>
      </c>
      <c r="V47">
        <f t="shared" ref="V47:V73" si="25">V48+0.5*P47+0.5*P48</f>
        <v>5215884.2363833673</v>
      </c>
      <c r="W47">
        <f t="shared" si="18"/>
        <v>5420068.6128341043</v>
      </c>
      <c r="X47">
        <f t="shared" si="1"/>
        <v>5606311.3522296147</v>
      </c>
      <c r="Y47">
        <f t="shared" si="2"/>
        <v>4363708.7254438857</v>
      </c>
      <c r="AB47">
        <f t="shared" ref="AB47:AB73" si="26">AB48+(P47^2+P47*P48+P48^2)/3</f>
        <v>462479481329.83624</v>
      </c>
      <c r="AC47">
        <f t="shared" si="19"/>
        <v>485965400274.30511</v>
      </c>
      <c r="AD47">
        <f t="shared" si="3"/>
        <v>508055726331.11511</v>
      </c>
      <c r="AE47">
        <f t="shared" si="4"/>
        <v>372090913488.92468</v>
      </c>
      <c r="AH47">
        <f t="shared" si="5"/>
        <v>142618366.32247335</v>
      </c>
      <c r="AI47">
        <f t="shared" si="5"/>
        <v>153219180.23109502</v>
      </c>
      <c r="AJ47">
        <f t="shared" si="5"/>
        <v>163019119.04570916</v>
      </c>
      <c r="AK47">
        <f t="shared" si="10"/>
        <v>102418629.97836339</v>
      </c>
      <c r="AN47">
        <f t="shared" ref="AN47:AN73" si="27">V47/P47</f>
        <v>52.158842363833671</v>
      </c>
      <c r="AO47">
        <f t="shared" si="20"/>
        <v>54.409972544868609</v>
      </c>
      <c r="AP47">
        <f t="shared" si="6"/>
        <v>56.375318239563597</v>
      </c>
      <c r="AQ47">
        <f t="shared" si="11"/>
        <v>44.142702625826487</v>
      </c>
      <c r="AT47">
        <f t="shared" ref="AT47:AT73" si="28">1-AB47/P47/V47</f>
        <v>0.11332487384629142</v>
      </c>
      <c r="AU47">
        <f t="shared" si="21"/>
        <v>9.9934142827163619E-2</v>
      </c>
      <c r="AV47">
        <f t="shared" si="7"/>
        <v>8.8732396318074946E-2</v>
      </c>
      <c r="AW47">
        <f t="shared" si="12"/>
        <v>0.13742577670961209</v>
      </c>
      <c r="AZ47">
        <f t="shared" ref="AZ47:AZ73" si="29">SQRT(2*P47*AH47/V47^2-1)</f>
        <v>0.22012370348407623</v>
      </c>
      <c r="BA47">
        <f t="shared" si="22"/>
        <v>0.19775228844952186</v>
      </c>
      <c r="BB47">
        <f t="shared" si="8"/>
        <v>0.17770364459039475</v>
      </c>
      <c r="BC47">
        <f t="shared" si="13"/>
        <v>0.25178203549896611</v>
      </c>
    </row>
    <row r="48" spans="1:55" x14ac:dyDescent="0.3">
      <c r="A48">
        <f t="shared" si="14"/>
        <v>38</v>
      </c>
      <c r="C48" s="7"/>
      <c r="D48" s="7">
        <v>99950.036121686557</v>
      </c>
      <c r="E48" s="7">
        <v>99579.811114905358</v>
      </c>
      <c r="F48" s="7">
        <v>99421.208152446954</v>
      </c>
      <c r="G48" s="7">
        <v>98788.496758270019</v>
      </c>
      <c r="J48">
        <f t="shared" ref="J48:J75" si="30">LN(LN(D48/D49)/LN(D47/D48))</f>
        <v>6.7147494451580844E-2</v>
      </c>
      <c r="K48">
        <f t="shared" si="23"/>
        <v>6.2369544548203835E-2</v>
      </c>
      <c r="L48">
        <f t="shared" si="15"/>
        <v>6.1777977750300188E-2</v>
      </c>
      <c r="M48">
        <f t="shared" si="16"/>
        <v>5.9309106149220678E-2</v>
      </c>
      <c r="P48">
        <f t="shared" si="24"/>
        <v>99950.036121686557</v>
      </c>
      <c r="Q48">
        <f t="shared" si="17"/>
        <v>99579.811114905358</v>
      </c>
      <c r="R48">
        <f t="shared" si="0"/>
        <v>99421.208152446954</v>
      </c>
      <c r="S48">
        <f t="shared" si="0"/>
        <v>98788.496758270019</v>
      </c>
      <c r="V48">
        <f t="shared" si="25"/>
        <v>5115909.2183225239</v>
      </c>
      <c r="W48">
        <f t="shared" si="18"/>
        <v>5320471.0308588361</v>
      </c>
      <c r="X48">
        <f t="shared" si="1"/>
        <v>5506877.6465612557</v>
      </c>
      <c r="Y48">
        <f t="shared" si="2"/>
        <v>4264887.1825645408</v>
      </c>
      <c r="AB48">
        <f t="shared" si="26"/>
        <v>452484476885.5379</v>
      </c>
      <c r="AC48">
        <f t="shared" si="19"/>
        <v>476045721833.71698</v>
      </c>
      <c r="AD48">
        <f t="shared" si="3"/>
        <v>498168664456.1106</v>
      </c>
      <c r="AE48">
        <f t="shared" si="4"/>
        <v>362325215787.85498</v>
      </c>
      <c r="AH48">
        <f t="shared" si="5"/>
        <v>137452473.75877693</v>
      </c>
      <c r="AI48">
        <f t="shared" si="5"/>
        <v>147848913.37105858</v>
      </c>
      <c r="AJ48">
        <f t="shared" si="5"/>
        <v>157462526.62923303</v>
      </c>
      <c r="AK48">
        <f t="shared" si="10"/>
        <v>98104337.53204602</v>
      </c>
      <c r="AN48">
        <f t="shared" si="27"/>
        <v>51.18466602747435</v>
      </c>
      <c r="AO48">
        <f t="shared" si="20"/>
        <v>53.429213926902648</v>
      </c>
      <c r="AP48">
        <f t="shared" si="6"/>
        <v>55.389365598105748</v>
      </c>
      <c r="AQ48">
        <f t="shared" si="11"/>
        <v>43.17190080339499</v>
      </c>
      <c r="AT48">
        <f t="shared" si="28"/>
        <v>0.11509245107051214</v>
      </c>
      <c r="AU48">
        <f t="shared" si="21"/>
        <v>0.10148095772094345</v>
      </c>
      <c r="AV48">
        <f t="shared" si="7"/>
        <v>9.010360854629218E-2</v>
      </c>
      <c r="AW48">
        <f t="shared" si="12"/>
        <v>0.14002735846139769</v>
      </c>
      <c r="AZ48">
        <f t="shared" si="29"/>
        <v>0.22323107319328736</v>
      </c>
      <c r="BA48">
        <f t="shared" si="22"/>
        <v>0.20051380458536047</v>
      </c>
      <c r="BB48">
        <f t="shared" si="8"/>
        <v>0.18018082762159357</v>
      </c>
      <c r="BC48">
        <f t="shared" si="13"/>
        <v>0.25619812808094489</v>
      </c>
    </row>
    <row r="49" spans="1:55" x14ac:dyDescent="0.3">
      <c r="A49">
        <f t="shared" si="14"/>
        <v>39</v>
      </c>
      <c r="C49" s="7"/>
      <c r="D49" s="7">
        <v>99896.629716407129</v>
      </c>
      <c r="E49" s="7">
        <v>99541.996016658217</v>
      </c>
      <c r="F49" s="7">
        <v>99394.627179081785</v>
      </c>
      <c r="G49" s="7">
        <v>98718.414389564074</v>
      </c>
      <c r="J49">
        <f t="shared" si="30"/>
        <v>8.8285268785803367E-2</v>
      </c>
      <c r="K49">
        <f t="shared" si="23"/>
        <v>9.3755198704736184E-2</v>
      </c>
      <c r="L49">
        <f t="shared" si="15"/>
        <v>0.10000129588031402</v>
      </c>
      <c r="M49">
        <f t="shared" si="16"/>
        <v>8.9808945313759686E-2</v>
      </c>
      <c r="P49">
        <f t="shared" si="24"/>
        <v>99896.629716407129</v>
      </c>
      <c r="Q49">
        <f t="shared" si="17"/>
        <v>99541.996016658217</v>
      </c>
      <c r="R49">
        <f t="shared" si="0"/>
        <v>99394.627179081785</v>
      </c>
      <c r="S49">
        <f t="shared" si="0"/>
        <v>98718.414389564074</v>
      </c>
      <c r="V49">
        <f t="shared" si="25"/>
        <v>5015985.8854034767</v>
      </c>
      <c r="W49">
        <f t="shared" si="18"/>
        <v>5220910.127293054</v>
      </c>
      <c r="X49">
        <f t="shared" si="1"/>
        <v>5407469.728895491</v>
      </c>
      <c r="Y49">
        <f t="shared" si="2"/>
        <v>4166133.7269906243</v>
      </c>
      <c r="AB49">
        <f t="shared" si="26"/>
        <v>442499804186.2002</v>
      </c>
      <c r="AC49">
        <f t="shared" si="19"/>
        <v>466133348195.71692</v>
      </c>
      <c r="AD49">
        <f t="shared" si="3"/>
        <v>488286730302.5882</v>
      </c>
      <c r="AE49">
        <f t="shared" si="4"/>
        <v>352572970390.77051</v>
      </c>
      <c r="AH49">
        <f t="shared" si="5"/>
        <v>132386530.65744771</v>
      </c>
      <c r="AI49">
        <f t="shared" si="5"/>
        <v>142578225.94324082</v>
      </c>
      <c r="AJ49">
        <f t="shared" si="5"/>
        <v>152005355.15658578</v>
      </c>
      <c r="AK49">
        <f t="shared" si="10"/>
        <v>93888832.917465836</v>
      </c>
      <c r="AN49">
        <f t="shared" si="27"/>
        <v>50.211762895737067</v>
      </c>
      <c r="AO49">
        <f t="shared" si="20"/>
        <v>52.449321253507335</v>
      </c>
      <c r="AP49">
        <f t="shared" si="6"/>
        <v>54.404044588373146</v>
      </c>
      <c r="AQ49">
        <f t="shared" si="11"/>
        <v>42.202194522190823</v>
      </c>
      <c r="AT49">
        <f t="shared" si="28"/>
        <v>0.1169080198243948</v>
      </c>
      <c r="AU49">
        <f t="shared" si="21"/>
        <v>0.10307193757399258</v>
      </c>
      <c r="AV49">
        <f t="shared" si="7"/>
        <v>9.1514675766933729E-2</v>
      </c>
      <c r="AW49">
        <f t="shared" si="12"/>
        <v>0.14272997749430927</v>
      </c>
      <c r="AZ49">
        <f t="shared" si="29"/>
        <v>0.22641677225231979</v>
      </c>
      <c r="BA49">
        <f t="shared" si="22"/>
        <v>0.20334930063570419</v>
      </c>
      <c r="BB49">
        <f t="shared" si="8"/>
        <v>0.18272504117935881</v>
      </c>
      <c r="BC49">
        <f t="shared" si="13"/>
        <v>0.26078904315188811</v>
      </c>
    </row>
    <row r="50" spans="1:55" x14ac:dyDescent="0.3">
      <c r="A50">
        <f t="shared" si="14"/>
        <v>40</v>
      </c>
      <c r="C50" s="7"/>
      <c r="D50" s="7">
        <v>99838.326525803233</v>
      </c>
      <c r="E50" s="7">
        <v>99500.480586787977</v>
      </c>
      <c r="F50" s="7">
        <v>99365.258889245306</v>
      </c>
      <c r="G50" s="7">
        <v>98641.803656650751</v>
      </c>
      <c r="J50">
        <f t="shared" si="30"/>
        <v>9.6420457312137428E-2</v>
      </c>
      <c r="K50">
        <f t="shared" si="23"/>
        <v>8.5864941920541601E-2</v>
      </c>
      <c r="L50">
        <f t="shared" si="15"/>
        <v>7.664420989532382E-2</v>
      </c>
      <c r="M50">
        <f t="shared" si="16"/>
        <v>8.2024005564458644E-2</v>
      </c>
      <c r="P50">
        <f t="shared" si="24"/>
        <v>99838.326525803233</v>
      </c>
      <c r="Q50">
        <f t="shared" si="17"/>
        <v>99500.480586787977</v>
      </c>
      <c r="R50">
        <f t="shared" si="0"/>
        <v>99365.258889245306</v>
      </c>
      <c r="S50">
        <f t="shared" si="0"/>
        <v>98641.803656650751</v>
      </c>
      <c r="V50">
        <f t="shared" si="25"/>
        <v>4916118.4072823711</v>
      </c>
      <c r="W50">
        <f t="shared" si="18"/>
        <v>5121388.8889913308</v>
      </c>
      <c r="X50">
        <f t="shared" si="1"/>
        <v>5308089.7858613273</v>
      </c>
      <c r="Y50">
        <f t="shared" si="2"/>
        <v>4067453.6179675171</v>
      </c>
      <c r="AB50">
        <f t="shared" si="26"/>
        <v>432526290716.65894</v>
      </c>
      <c r="AC50">
        <f t="shared" si="19"/>
        <v>456228871178.98096</v>
      </c>
      <c r="AD50">
        <f t="shared" si="3"/>
        <v>478410357153.23993</v>
      </c>
      <c r="AE50">
        <f t="shared" si="4"/>
        <v>342835205984.85779</v>
      </c>
      <c r="AH50">
        <f t="shared" si="5"/>
        <v>127420483.36970401</v>
      </c>
      <c r="AI50">
        <f t="shared" si="5"/>
        <v>137407079.89471778</v>
      </c>
      <c r="AJ50">
        <f t="shared" si="5"/>
        <v>146647577.84656486</v>
      </c>
      <c r="AK50">
        <f t="shared" si="10"/>
        <v>89772045.62921451</v>
      </c>
      <c r="AN50">
        <f t="shared" si="27"/>
        <v>49.240793374193821</v>
      </c>
      <c r="AO50">
        <f t="shared" si="20"/>
        <v>51.470996509652707</v>
      </c>
      <c r="AP50">
        <f t="shared" si="6"/>
        <v>53.419976410244558</v>
      </c>
      <c r="AQ50">
        <f t="shared" si="11"/>
        <v>41.234582775122199</v>
      </c>
      <c r="AT50">
        <f t="shared" si="28"/>
        <v>0.118762675167851</v>
      </c>
      <c r="AU50">
        <f t="shared" si="21"/>
        <v>0.10469742904866097</v>
      </c>
      <c r="AV50">
        <f t="shared" si="7"/>
        <v>9.2957274849453042E-2</v>
      </c>
      <c r="AW50">
        <f t="shared" si="12"/>
        <v>0.14552020166528379</v>
      </c>
      <c r="AZ50">
        <f t="shared" si="29"/>
        <v>0.22965583117969021</v>
      </c>
      <c r="BA50">
        <f t="shared" si="22"/>
        <v>0.20622927089559265</v>
      </c>
      <c r="BB50">
        <f t="shared" si="8"/>
        <v>0.18530809287526279</v>
      </c>
      <c r="BC50">
        <f t="shared" si="13"/>
        <v>0.26551943639506193</v>
      </c>
    </row>
    <row r="51" spans="1:55" x14ac:dyDescent="0.3">
      <c r="A51">
        <f t="shared" si="14"/>
        <v>41</v>
      </c>
      <c r="C51" s="7"/>
      <c r="D51" s="7">
        <v>99774.161138485331</v>
      </c>
      <c r="E51" s="7">
        <v>99455.262631297286</v>
      </c>
      <c r="F51" s="7">
        <v>99333.56092560172</v>
      </c>
      <c r="G51" s="7">
        <v>98558.711388333686</v>
      </c>
      <c r="J51">
        <f t="shared" si="30"/>
        <v>0.11807752110649219</v>
      </c>
      <c r="K51">
        <f t="shared" si="23"/>
        <v>0.13546225528390785</v>
      </c>
      <c r="L51">
        <f t="shared" si="15"/>
        <v>0.14934731296777015</v>
      </c>
      <c r="M51">
        <f t="shared" si="16"/>
        <v>8.852377916055057E-2</v>
      </c>
      <c r="P51">
        <f t="shared" si="24"/>
        <v>99774.161138485331</v>
      </c>
      <c r="Q51">
        <f t="shared" si="17"/>
        <v>99455.262631297286</v>
      </c>
      <c r="R51">
        <f t="shared" si="0"/>
        <v>99333.56092560172</v>
      </c>
      <c r="S51">
        <f t="shared" si="0"/>
        <v>98558.711388333686</v>
      </c>
      <c r="V51">
        <f t="shared" si="25"/>
        <v>4816312.1634502262</v>
      </c>
      <c r="W51">
        <f t="shared" si="18"/>
        <v>5021911.0173822884</v>
      </c>
      <c r="X51">
        <f t="shared" si="1"/>
        <v>5208740.3759539044</v>
      </c>
      <c r="Y51">
        <f t="shared" si="2"/>
        <v>3968853.3604450249</v>
      </c>
      <c r="AB51">
        <f t="shared" si="26"/>
        <v>422565004065.67773</v>
      </c>
      <c r="AC51">
        <f t="shared" si="19"/>
        <v>446333024068.72717</v>
      </c>
      <c r="AD51">
        <f t="shared" si="3"/>
        <v>468540051820.55658</v>
      </c>
      <c r="AE51">
        <f t="shared" si="4"/>
        <v>333113194625.99561</v>
      </c>
      <c r="AH51">
        <f t="shared" si="5"/>
        <v>122554273.43145332</v>
      </c>
      <c r="AI51">
        <f t="shared" si="5"/>
        <v>132335433.70969395</v>
      </c>
      <c r="AJ51">
        <f t="shared" si="5"/>
        <v>141389165.4071542</v>
      </c>
      <c r="AK51">
        <f t="shared" si="10"/>
        <v>85753899.064363942</v>
      </c>
      <c r="AN51">
        <f t="shared" si="27"/>
        <v>48.272138883385281</v>
      </c>
      <c r="AO51">
        <f t="shared" si="20"/>
        <v>50.494170791138785</v>
      </c>
      <c r="AP51">
        <f t="shared" si="6"/>
        <v>52.436863507340853</v>
      </c>
      <c r="AQ51">
        <f t="shared" si="11"/>
        <v>40.268925035020445</v>
      </c>
      <c r="AT51">
        <f t="shared" si="28"/>
        <v>0.12065193080978731</v>
      </c>
      <c r="AU51">
        <f t="shared" si="21"/>
        <v>0.10636074143584839</v>
      </c>
      <c r="AV51">
        <f t="shared" si="7"/>
        <v>9.4438384020445465E-2</v>
      </c>
      <c r="AW51">
        <f t="shared" si="12"/>
        <v>0.1484076219768945</v>
      </c>
      <c r="AZ51">
        <f t="shared" si="29"/>
        <v>0.23293544811986988</v>
      </c>
      <c r="BA51">
        <f t="shared" si="22"/>
        <v>0.20916152696204829</v>
      </c>
      <c r="BB51">
        <f t="shared" si="8"/>
        <v>0.18794951133362814</v>
      </c>
      <c r="BC51">
        <f t="shared" si="13"/>
        <v>0.27040935239224206</v>
      </c>
    </row>
    <row r="52" spans="1:55" x14ac:dyDescent="0.3">
      <c r="A52">
        <f t="shared" si="14"/>
        <v>42</v>
      </c>
      <c r="C52" s="7"/>
      <c r="D52" s="7">
        <v>99702.003130823417</v>
      </c>
      <c r="E52" s="7">
        <v>99403.510325465104</v>
      </c>
      <c r="F52" s="7">
        <v>99296.769861094072</v>
      </c>
      <c r="G52" s="7">
        <v>98468.008089981304</v>
      </c>
      <c r="J52">
        <f t="shared" si="30"/>
        <v>8.8609391584564004E-2</v>
      </c>
      <c r="K52">
        <f t="shared" si="23"/>
        <v>8.69761672943727E-2</v>
      </c>
      <c r="L52">
        <f t="shared" si="15"/>
        <v>8.516177576922071E-2</v>
      </c>
      <c r="M52">
        <f t="shared" si="16"/>
        <v>9.6672096951730485E-2</v>
      </c>
      <c r="P52">
        <f t="shared" si="24"/>
        <v>99702.003130823417</v>
      </c>
      <c r="Q52">
        <f t="shared" si="17"/>
        <v>99403.510325465104</v>
      </c>
      <c r="R52">
        <f t="shared" si="0"/>
        <v>99296.769861094072</v>
      </c>
      <c r="S52">
        <f t="shared" si="0"/>
        <v>98468.008089981304</v>
      </c>
      <c r="V52">
        <f t="shared" si="25"/>
        <v>4716574.0813155714</v>
      </c>
      <c r="W52">
        <f t="shared" si="18"/>
        <v>4922481.6309039071</v>
      </c>
      <c r="X52">
        <f t="shared" si="1"/>
        <v>5109425.2105605565</v>
      </c>
      <c r="Y52">
        <f t="shared" si="2"/>
        <v>3870340.0007058675</v>
      </c>
      <c r="AB52">
        <f t="shared" si="26"/>
        <v>412617318603.88049</v>
      </c>
      <c r="AC52">
        <f t="shared" si="19"/>
        <v>436446820950.06812</v>
      </c>
      <c r="AD52">
        <f t="shared" si="3"/>
        <v>458676549630.65002</v>
      </c>
      <c r="AE52">
        <f t="shared" si="4"/>
        <v>323408311893.30823</v>
      </c>
      <c r="AH52">
        <f t="shared" si="5"/>
        <v>117787836.32223772</v>
      </c>
      <c r="AI52">
        <f t="shared" si="5"/>
        <v>127363241.69824301</v>
      </c>
      <c r="AJ52">
        <f t="shared" si="5"/>
        <v>136230085.67981902</v>
      </c>
      <c r="AK52">
        <f t="shared" si="10"/>
        <v>81834309.942396685</v>
      </c>
      <c r="AN52">
        <f t="shared" si="27"/>
        <v>47.306713337812738</v>
      </c>
      <c r="AO52">
        <f t="shared" si="20"/>
        <v>49.52019918398063</v>
      </c>
      <c r="AP52">
        <f t="shared" si="6"/>
        <v>51.456106958042191</v>
      </c>
      <c r="AQ52">
        <f t="shared" si="11"/>
        <v>39.30555797542997</v>
      </c>
      <c r="AT52">
        <f t="shared" si="28"/>
        <v>0.12256105121741645</v>
      </c>
      <c r="AU52">
        <f t="shared" si="21"/>
        <v>0.10803973269570477</v>
      </c>
      <c r="AV52">
        <f t="shared" si="7"/>
        <v>9.5935597396124783E-2</v>
      </c>
      <c r="AW52">
        <f t="shared" si="12"/>
        <v>0.15139242070008208</v>
      </c>
      <c r="AZ52">
        <f t="shared" si="29"/>
        <v>0.23621687001357849</v>
      </c>
      <c r="BA52">
        <f t="shared" si="22"/>
        <v>0.21208281520309427</v>
      </c>
      <c r="BB52">
        <f t="shared" si="8"/>
        <v>0.19057915555051008</v>
      </c>
      <c r="BC52">
        <f t="shared" si="13"/>
        <v>0.27545650870985477</v>
      </c>
    </row>
    <row r="53" spans="1:55" x14ac:dyDescent="0.3">
      <c r="A53">
        <f t="shared" si="14"/>
        <v>43</v>
      </c>
      <c r="C53" s="7"/>
      <c r="D53" s="7">
        <v>99623.219072582011</v>
      </c>
      <c r="E53" s="7">
        <v>99347.085963448932</v>
      </c>
      <c r="F53" s="7">
        <v>99256.723818079889</v>
      </c>
      <c r="G53" s="7">
        <v>98368.195095563817</v>
      </c>
      <c r="J53">
        <f t="shared" si="30"/>
        <v>5.0150091573540813E-2</v>
      </c>
      <c r="K53">
        <f t="shared" si="23"/>
        <v>4.2964788855339928E-2</v>
      </c>
      <c r="L53">
        <f t="shared" si="15"/>
        <v>4.1486043300654807E-2</v>
      </c>
      <c r="M53">
        <f t="shared" si="16"/>
        <v>9.8432675953525672E-2</v>
      </c>
      <c r="P53">
        <f t="shared" si="24"/>
        <v>99623.219072582011</v>
      </c>
      <c r="Q53">
        <f t="shared" si="17"/>
        <v>99347.085963448932</v>
      </c>
      <c r="R53">
        <f t="shared" si="0"/>
        <v>99256.723818079889</v>
      </c>
      <c r="S53">
        <f t="shared" si="0"/>
        <v>98368.195095563817</v>
      </c>
      <c r="V53">
        <f t="shared" si="25"/>
        <v>4616911.4702138687</v>
      </c>
      <c r="W53">
        <f t="shared" si="18"/>
        <v>4823106.3327594502</v>
      </c>
      <c r="X53">
        <f t="shared" si="1"/>
        <v>5010148.4637209689</v>
      </c>
      <c r="Y53">
        <f t="shared" si="2"/>
        <v>3771921.8991130949</v>
      </c>
      <c r="AB53">
        <f t="shared" si="26"/>
        <v>402684682035.02728</v>
      </c>
      <c r="AC53">
        <f t="shared" si="19"/>
        <v>426571370803.45935</v>
      </c>
      <c r="AD53">
        <f t="shared" si="3"/>
        <v>448820677033.95813</v>
      </c>
      <c r="AE53">
        <f t="shared" si="4"/>
        <v>313722188341.96344</v>
      </c>
      <c r="AH53">
        <f t="shared" si="5"/>
        <v>113121100.11181118</v>
      </c>
      <c r="AI53">
        <f t="shared" si="5"/>
        <v>122490452.41844149</v>
      </c>
      <c r="AJ53">
        <f t="shared" si="5"/>
        <v>131170302.17984851</v>
      </c>
      <c r="AK53">
        <f t="shared" si="10"/>
        <v>78013187.310236752</v>
      </c>
      <c r="AN53">
        <f t="shared" si="27"/>
        <v>46.3437290341938</v>
      </c>
      <c r="AO53">
        <f t="shared" si="20"/>
        <v>48.548040297165166</v>
      </c>
      <c r="AP53">
        <f t="shared" si="6"/>
        <v>50.476665670566454</v>
      </c>
      <c r="AQ53">
        <f t="shared" si="11"/>
        <v>38.344933496530118</v>
      </c>
      <c r="AT53">
        <f t="shared" si="28"/>
        <v>0.12450636749139199</v>
      </c>
      <c r="AU53">
        <f t="shared" si="21"/>
        <v>0.10975460700196449</v>
      </c>
      <c r="AV53">
        <f t="shared" si="7"/>
        <v>9.7468590594837479E-2</v>
      </c>
      <c r="AW53">
        <f t="shared" si="12"/>
        <v>0.1544722975313042</v>
      </c>
      <c r="AZ53">
        <f t="shared" si="29"/>
        <v>0.23954123254310516</v>
      </c>
      <c r="BA53">
        <f t="shared" si="22"/>
        <v>0.21504817797591907</v>
      </c>
      <c r="BB53">
        <f t="shared" si="8"/>
        <v>0.19325498614690401</v>
      </c>
      <c r="BC53">
        <f t="shared" si="13"/>
        <v>0.28065319433528896</v>
      </c>
    </row>
    <row r="54" spans="1:55" x14ac:dyDescent="0.3">
      <c r="A54">
        <f t="shared" si="14"/>
        <v>44</v>
      </c>
      <c r="C54" s="7"/>
      <c r="D54" s="7">
        <v>99540.450376028617</v>
      </c>
      <c r="E54" s="7">
        <v>99288.218675589713</v>
      </c>
      <c r="F54" s="7">
        <v>99214.998671179012</v>
      </c>
      <c r="G54" s="7">
        <v>98258.174845714704</v>
      </c>
      <c r="J54">
        <f t="shared" si="30"/>
        <v>0.14604384825588893</v>
      </c>
      <c r="K54">
        <f t="shared" si="23"/>
        <v>0.15883987834441518</v>
      </c>
      <c r="L54">
        <f t="shared" si="15"/>
        <v>0.16575836742517577</v>
      </c>
      <c r="M54">
        <f t="shared" si="16"/>
        <v>0.11103479323281941</v>
      </c>
      <c r="P54">
        <f t="shared" si="24"/>
        <v>99540.450376028617</v>
      </c>
      <c r="Q54">
        <f t="shared" si="17"/>
        <v>99288.218675589713</v>
      </c>
      <c r="R54">
        <f t="shared" si="0"/>
        <v>99214.998671179012</v>
      </c>
      <c r="S54">
        <f t="shared" si="0"/>
        <v>98258.174845714704</v>
      </c>
      <c r="V54">
        <f t="shared" si="25"/>
        <v>4517329.6354895635</v>
      </c>
      <c r="W54">
        <f t="shared" si="18"/>
        <v>4723788.6804399313</v>
      </c>
      <c r="X54">
        <f t="shared" si="1"/>
        <v>4910912.6024763389</v>
      </c>
      <c r="Y54">
        <f t="shared" si="2"/>
        <v>3673608.7141424553</v>
      </c>
      <c r="AB54">
        <f t="shared" si="26"/>
        <v>392768139657.08032</v>
      </c>
      <c r="AC54">
        <f t="shared" si="19"/>
        <v>416707374452.41864</v>
      </c>
      <c r="AD54">
        <f t="shared" si="3"/>
        <v>438972920731.91248</v>
      </c>
      <c r="AE54">
        <f t="shared" si="4"/>
        <v>304056704994.18768</v>
      </c>
      <c r="AH54">
        <f t="shared" si="5"/>
        <v>108553986.45635083</v>
      </c>
      <c r="AI54">
        <f t="shared" si="5"/>
        <v>117717009.81744912</v>
      </c>
      <c r="AJ54">
        <f t="shared" si="5"/>
        <v>126209775.12384543</v>
      </c>
      <c r="AK54">
        <f t="shared" si="10"/>
        <v>74290431.171963125</v>
      </c>
      <c r="AN54">
        <f t="shared" si="27"/>
        <v>45.381848468885664</v>
      </c>
      <c r="AO54">
        <f t="shared" si="20"/>
        <v>47.576527642964834</v>
      </c>
      <c r="AP54">
        <f t="shared" si="6"/>
        <v>49.497683497957965</v>
      </c>
      <c r="AQ54">
        <f t="shared" si="11"/>
        <v>37.387308688674175</v>
      </c>
      <c r="AT54">
        <f t="shared" si="28"/>
        <v>0.12651617436130835</v>
      </c>
      <c r="AU54">
        <f t="shared" si="21"/>
        <v>0.11152951324397842</v>
      </c>
      <c r="AV54">
        <f t="shared" si="7"/>
        <v>9.9055176631344666E-2</v>
      </c>
      <c r="AW54">
        <f t="shared" si="12"/>
        <v>0.1576491946084938</v>
      </c>
      <c r="AZ54">
        <f t="shared" si="29"/>
        <v>0.24297869379142989</v>
      </c>
      <c r="BA54">
        <f t="shared" si="22"/>
        <v>0.21812185549564925</v>
      </c>
      <c r="BB54">
        <f t="shared" si="8"/>
        <v>0.19602767732480231</v>
      </c>
      <c r="BC54">
        <f t="shared" si="13"/>
        <v>0.28600175497670011</v>
      </c>
    </row>
    <row r="55" spans="1:55" x14ac:dyDescent="0.3">
      <c r="A55">
        <f t="shared" si="14"/>
        <v>45</v>
      </c>
      <c r="C55" s="7"/>
      <c r="D55" s="7">
        <v>99444.752387909903</v>
      </c>
      <c r="E55" s="7">
        <v>99219.261773621081</v>
      </c>
      <c r="F55" s="7">
        <v>99165.773554549771</v>
      </c>
      <c r="G55" s="7">
        <v>98135.38007189738</v>
      </c>
      <c r="J55">
        <f t="shared" si="30"/>
        <v>5.8728121573422193E-2</v>
      </c>
      <c r="K55">
        <f t="shared" si="23"/>
        <v>5.9282290634039114E-2</v>
      </c>
      <c r="L55">
        <f t="shared" si="15"/>
        <v>6.4494581499520837E-2</v>
      </c>
      <c r="M55">
        <f t="shared" si="16"/>
        <v>7.6156433834993709E-2</v>
      </c>
      <c r="P55">
        <f t="shared" si="24"/>
        <v>99444.752387909903</v>
      </c>
      <c r="Q55">
        <f t="shared" si="17"/>
        <v>99219.261773621081</v>
      </c>
      <c r="R55">
        <f t="shared" si="0"/>
        <v>99165.773554549771</v>
      </c>
      <c r="S55">
        <f t="shared" si="0"/>
        <v>98135.38007189738</v>
      </c>
      <c r="V55">
        <f t="shared" si="25"/>
        <v>4417837.0341075948</v>
      </c>
      <c r="W55">
        <f t="shared" si="18"/>
        <v>4624534.9402153259</v>
      </c>
      <c r="X55">
        <f t="shared" si="1"/>
        <v>4811722.2163634738</v>
      </c>
      <c r="Y55">
        <f t="shared" si="2"/>
        <v>3575411.9366836492</v>
      </c>
      <c r="AB55">
        <f t="shared" si="26"/>
        <v>382869361164.1535</v>
      </c>
      <c r="AC55">
        <f t="shared" si="19"/>
        <v>406856069107.59064</v>
      </c>
      <c r="AD55">
        <f t="shared" si="3"/>
        <v>429134187832.76733</v>
      </c>
      <c r="AE55">
        <f t="shared" si="4"/>
        <v>294414096634.34705</v>
      </c>
      <c r="AH55">
        <f t="shared" si="5"/>
        <v>104086411.0963846</v>
      </c>
      <c r="AI55">
        <f t="shared" si="5"/>
        <v>113042853.75353</v>
      </c>
      <c r="AJ55">
        <f t="shared" si="5"/>
        <v>121348461.81651857</v>
      </c>
      <c r="AK55">
        <f t="shared" si="10"/>
        <v>70665931.07944788</v>
      </c>
      <c r="AN55">
        <f t="shared" si="27"/>
        <v>44.425039311020477</v>
      </c>
      <c r="AO55">
        <f t="shared" si="20"/>
        <v>46.609245599575985</v>
      </c>
      <c r="AP55">
        <f t="shared" si="6"/>
        <v>48.522005565928545</v>
      </c>
      <c r="AQ55">
        <f t="shared" si="11"/>
        <v>36.433465016023561</v>
      </c>
      <c r="AT55">
        <f t="shared" si="28"/>
        <v>0.12851673580849843</v>
      </c>
      <c r="AU55">
        <f t="shared" si="21"/>
        <v>0.11329993088269008</v>
      </c>
      <c r="AV55">
        <f t="shared" si="7"/>
        <v>0.10064580749025998</v>
      </c>
      <c r="AW55">
        <f t="shared" si="12"/>
        <v>0.16091316774886688</v>
      </c>
      <c r="AZ55">
        <f t="shared" si="29"/>
        <v>0.24634370505793449</v>
      </c>
      <c r="BA55">
        <f t="shared" si="22"/>
        <v>0.22112735064819131</v>
      </c>
      <c r="BB55">
        <f t="shared" si="8"/>
        <v>0.19874900205312407</v>
      </c>
      <c r="BC55">
        <f t="shared" si="13"/>
        <v>0.29147809370030642</v>
      </c>
    </row>
    <row r="56" spans="1:55" x14ac:dyDescent="0.3">
      <c r="A56">
        <f t="shared" si="14"/>
        <v>46</v>
      </c>
      <c r="C56" s="7"/>
      <c r="D56" s="7">
        <v>99343.366445003325</v>
      </c>
      <c r="E56" s="7">
        <v>99146.145714927494</v>
      </c>
      <c r="F56" s="7">
        <v>99113.295987865175</v>
      </c>
      <c r="G56" s="7">
        <v>98003.040527362638</v>
      </c>
      <c r="J56">
        <f t="shared" si="30"/>
        <v>0.164805174477304</v>
      </c>
      <c r="K56">
        <f t="shared" si="23"/>
        <v>0.17582767210637026</v>
      </c>
      <c r="L56">
        <f t="shared" si="15"/>
        <v>0.18235898189368124</v>
      </c>
      <c r="M56">
        <f t="shared" si="16"/>
        <v>9.6302466710800894E-2</v>
      </c>
      <c r="P56">
        <f t="shared" si="24"/>
        <v>99343.366445003325</v>
      </c>
      <c r="Q56">
        <f t="shared" si="17"/>
        <v>99146.145714927494</v>
      </c>
      <c r="R56">
        <f t="shared" si="0"/>
        <v>99113.295987865175</v>
      </c>
      <c r="S56">
        <f t="shared" si="0"/>
        <v>98003.040527362638</v>
      </c>
      <c r="V56">
        <f t="shared" si="25"/>
        <v>4318442.9746911386</v>
      </c>
      <c r="W56">
        <f t="shared" si="18"/>
        <v>4525352.2364710514</v>
      </c>
      <c r="X56">
        <f t="shared" si="1"/>
        <v>4712582.6815922661</v>
      </c>
      <c r="Y56">
        <f t="shared" si="2"/>
        <v>3477342.7263840195</v>
      </c>
      <c r="AB56">
        <f t="shared" si="26"/>
        <v>372990181260.27893</v>
      </c>
      <c r="AC56">
        <f t="shared" si="19"/>
        <v>397018859940.06964</v>
      </c>
      <c r="AD56">
        <f t="shared" si="3"/>
        <v>419305540248.62463</v>
      </c>
      <c r="AE56">
        <f t="shared" si="4"/>
        <v>284796525166.0744</v>
      </c>
      <c r="AH56">
        <f t="shared" si="5"/>
        <v>99718279.540813804</v>
      </c>
      <c r="AI56">
        <f t="shared" si="5"/>
        <v>108467916.25819169</v>
      </c>
      <c r="AJ56">
        <f t="shared" si="5"/>
        <v>116586313.74067126</v>
      </c>
      <c r="AK56">
        <f t="shared" si="10"/>
        <v>67139564.776209429</v>
      </c>
      <c r="AN56">
        <f t="shared" si="27"/>
        <v>43.469867483118129</v>
      </c>
      <c r="AO56">
        <f t="shared" si="20"/>
        <v>45.643249203884203</v>
      </c>
      <c r="AP56">
        <f t="shared" si="6"/>
        <v>47.547431801372504</v>
      </c>
      <c r="AQ56">
        <f t="shared" si="11"/>
        <v>35.481988188041356</v>
      </c>
      <c r="AT56">
        <f t="shared" si="28"/>
        <v>0.13057657453064064</v>
      </c>
      <c r="AU56">
        <f t="shared" si="21"/>
        <v>0.1151229867125747</v>
      </c>
      <c r="AV56">
        <f t="shared" si="7"/>
        <v>0.10228248400385909</v>
      </c>
      <c r="AW56">
        <f t="shared" si="12"/>
        <v>0.16430531606911714</v>
      </c>
      <c r="AZ56">
        <f t="shared" si="29"/>
        <v>0.24980582120397127</v>
      </c>
      <c r="BA56">
        <f t="shared" si="22"/>
        <v>0.22421722327850255</v>
      </c>
      <c r="BB56">
        <f t="shared" si="8"/>
        <v>0.20154018163278103</v>
      </c>
      <c r="BC56">
        <f t="shared" si="13"/>
        <v>0.2971718984798799</v>
      </c>
    </row>
    <row r="57" spans="1:55" x14ac:dyDescent="0.3">
      <c r="A57">
        <f t="shared" si="14"/>
        <v>47</v>
      </c>
      <c r="C57" s="7"/>
      <c r="D57" s="7">
        <v>99223.948650141057</v>
      </c>
      <c r="E57" s="7">
        <v>99059.044775946808</v>
      </c>
      <c r="F57" s="7">
        <v>99050.357209070571</v>
      </c>
      <c r="G57" s="7">
        <v>97857.528935921524</v>
      </c>
      <c r="J57">
        <f t="shared" si="30"/>
        <v>7.5703561863923491E-2</v>
      </c>
      <c r="K57">
        <f t="shared" si="23"/>
        <v>7.3801381383460637E-2</v>
      </c>
      <c r="L57">
        <f t="shared" si="15"/>
        <v>7.257159022686456E-2</v>
      </c>
      <c r="M57">
        <f t="shared" si="16"/>
        <v>0.1197216603125794</v>
      </c>
      <c r="P57">
        <f t="shared" si="24"/>
        <v>99223.948650141057</v>
      </c>
      <c r="Q57">
        <f t="shared" si="17"/>
        <v>99059.044775946808</v>
      </c>
      <c r="R57">
        <f t="shared" si="0"/>
        <v>99050.357209070571</v>
      </c>
      <c r="S57">
        <f t="shared" si="0"/>
        <v>97857.528935921524</v>
      </c>
      <c r="V57">
        <f t="shared" si="25"/>
        <v>4219159.3171435669</v>
      </c>
      <c r="W57">
        <f t="shared" si="18"/>
        <v>4426249.6412256146</v>
      </c>
      <c r="X57">
        <f t="shared" si="1"/>
        <v>4613500.8549937988</v>
      </c>
      <c r="Y57">
        <f t="shared" si="2"/>
        <v>3379412.4416523776</v>
      </c>
      <c r="AB57">
        <f t="shared" si="26"/>
        <v>363132935415.87122</v>
      </c>
      <c r="AC57">
        <f t="shared" si="19"/>
        <v>387197534923.47424</v>
      </c>
      <c r="AD57">
        <f t="shared" si="3"/>
        <v>409488331556.42828</v>
      </c>
      <c r="AE57">
        <f t="shared" si="4"/>
        <v>275206182733.98529</v>
      </c>
      <c r="AH57">
        <f t="shared" si="5"/>
        <v>95449488.346379369</v>
      </c>
      <c r="AI57">
        <f t="shared" si="5"/>
        <v>103992122.57775493</v>
      </c>
      <c r="AJ57">
        <f t="shared" si="5"/>
        <v>111923277.21727645</v>
      </c>
      <c r="AK57">
        <f t="shared" si="10"/>
        <v>63711199.318157181</v>
      </c>
      <c r="AN57">
        <f t="shared" si="27"/>
        <v>42.521582486302002</v>
      </c>
      <c r="AO57">
        <f t="shared" si="20"/>
        <v>44.682942897712877</v>
      </c>
      <c r="AP57">
        <f t="shared" si="6"/>
        <v>46.577326775872706</v>
      </c>
      <c r="AQ57">
        <f t="shared" si="11"/>
        <v>34.534005491445264</v>
      </c>
      <c r="AT57">
        <f t="shared" si="28"/>
        <v>0.1325924268542652</v>
      </c>
      <c r="AU57">
        <f t="shared" si="21"/>
        <v>0.11691492792426328</v>
      </c>
      <c r="AV57">
        <f t="shared" si="7"/>
        <v>0.10390329695952405</v>
      </c>
      <c r="AW57">
        <f t="shared" si="12"/>
        <v>0.16780952074056021</v>
      </c>
      <c r="AZ57">
        <f t="shared" si="29"/>
        <v>0.2531111238555136</v>
      </c>
      <c r="BA57">
        <f t="shared" si="22"/>
        <v>0.22716799270174529</v>
      </c>
      <c r="BB57">
        <f t="shared" si="8"/>
        <v>0.20422095942535581</v>
      </c>
      <c r="BC57">
        <f t="shared" si="13"/>
        <v>0.30304543875697748</v>
      </c>
    </row>
    <row r="58" spans="1:55" x14ac:dyDescent="0.3">
      <c r="A58">
        <f t="shared" si="14"/>
        <v>48</v>
      </c>
      <c r="C58" s="7"/>
      <c r="D58" s="7">
        <v>99095.300429514551</v>
      </c>
      <c r="E58" s="7">
        <v>98965.358051715768</v>
      </c>
      <c r="F58" s="7">
        <v>98982.72563439954</v>
      </c>
      <c r="G58" s="7">
        <v>97693.769732549612</v>
      </c>
      <c r="J58">
        <f t="shared" si="30"/>
        <v>6.1246682429803447E-2</v>
      </c>
      <c r="K58">
        <f t="shared" si="23"/>
        <v>5.6941023179442309E-2</v>
      </c>
      <c r="L58">
        <f t="shared" si="15"/>
        <v>5.4831888552888085E-2</v>
      </c>
      <c r="M58">
        <f t="shared" si="16"/>
        <v>0.11352679860660954</v>
      </c>
      <c r="P58">
        <f t="shared" si="24"/>
        <v>99095.300429514551</v>
      </c>
      <c r="Q58">
        <f t="shared" si="17"/>
        <v>98965.358051715768</v>
      </c>
      <c r="R58">
        <f t="shared" si="0"/>
        <v>98982.72563439954</v>
      </c>
      <c r="S58">
        <f t="shared" si="0"/>
        <v>97693.769732549612</v>
      </c>
      <c r="V58">
        <f t="shared" si="25"/>
        <v>4119999.692603739</v>
      </c>
      <c r="W58">
        <f t="shared" si="18"/>
        <v>4327237.4398117838</v>
      </c>
      <c r="X58">
        <f t="shared" si="1"/>
        <v>4514484.313572064</v>
      </c>
      <c r="Y58">
        <f t="shared" si="2"/>
        <v>3281636.792318142</v>
      </c>
      <c r="AB58">
        <f t="shared" si="26"/>
        <v>353300302897.79456</v>
      </c>
      <c r="AC58">
        <f t="shared" si="19"/>
        <v>377394118163.2276</v>
      </c>
      <c r="AD58">
        <f t="shared" si="3"/>
        <v>399684055700.13696</v>
      </c>
      <c r="AE58">
        <f t="shared" si="4"/>
        <v>265646102896.49753</v>
      </c>
      <c r="AH58">
        <f t="shared" si="5"/>
        <v>91279919.562190771</v>
      </c>
      <c r="AI58">
        <f t="shared" si="5"/>
        <v>99615386.844463259</v>
      </c>
      <c r="AJ58">
        <f t="shared" si="5"/>
        <v>107359290.26895808</v>
      </c>
      <c r="AK58">
        <f t="shared" si="10"/>
        <v>60380688.347772203</v>
      </c>
      <c r="AN58">
        <f t="shared" si="27"/>
        <v>41.576136050308982</v>
      </c>
      <c r="AO58">
        <f t="shared" si="20"/>
        <v>43.724769202072949</v>
      </c>
      <c r="AP58">
        <f t="shared" si="6"/>
        <v>45.608809866952605</v>
      </c>
      <c r="AQ58">
        <f t="shared" si="11"/>
        <v>33.591055000764968</v>
      </c>
      <c r="AT58">
        <f t="shared" si="28"/>
        <v>0.13464607575006737</v>
      </c>
      <c r="AU58">
        <f t="shared" si="21"/>
        <v>0.1187457977088715</v>
      </c>
      <c r="AV58">
        <f t="shared" si="7"/>
        <v>0.1055640082761018</v>
      </c>
      <c r="AW58">
        <f t="shared" si="12"/>
        <v>0.17139782538543968</v>
      </c>
      <c r="AZ58">
        <f t="shared" si="29"/>
        <v>0.25645875070902319</v>
      </c>
      <c r="BA58">
        <f t="shared" si="22"/>
        <v>0.23016356261509313</v>
      </c>
      <c r="BB58">
        <f t="shared" si="8"/>
        <v>0.20694959346048655</v>
      </c>
      <c r="BC58">
        <f t="shared" si="13"/>
        <v>0.30903693525380999</v>
      </c>
    </row>
    <row r="59" spans="1:55" x14ac:dyDescent="0.3">
      <c r="A59">
        <f t="shared" si="14"/>
        <v>49</v>
      </c>
      <c r="C59" s="7"/>
      <c r="D59" s="7">
        <v>98958.709568502789</v>
      </c>
      <c r="E59" s="7">
        <v>98866.27844966382</v>
      </c>
      <c r="F59" s="7">
        <v>98911.332296110704</v>
      </c>
      <c r="G59" s="7">
        <v>97510.648504550205</v>
      </c>
      <c r="J59">
        <f t="shared" si="30"/>
        <v>7.6817902220772449E-2</v>
      </c>
      <c r="K59">
        <f t="shared" si="23"/>
        <v>7.9602504848954911E-2</v>
      </c>
      <c r="L59">
        <f t="shared" si="15"/>
        <v>8.2309129836013628E-2</v>
      </c>
      <c r="M59">
        <f t="shared" si="16"/>
        <v>9.6899620669541539E-2</v>
      </c>
      <c r="P59">
        <f t="shared" si="24"/>
        <v>98958.709568502789</v>
      </c>
      <c r="Q59">
        <f t="shared" si="17"/>
        <v>98866.27844966382</v>
      </c>
      <c r="R59">
        <f t="shared" si="0"/>
        <v>98911.332296110704</v>
      </c>
      <c r="S59">
        <f t="shared" si="0"/>
        <v>97510.648504550205</v>
      </c>
      <c r="V59">
        <f t="shared" si="25"/>
        <v>4020972.6876047305</v>
      </c>
      <c r="W59">
        <f t="shared" si="18"/>
        <v>4228321.6215610942</v>
      </c>
      <c r="X59">
        <f t="shared" si="1"/>
        <v>4415537.2846068088</v>
      </c>
      <c r="Y59">
        <f t="shared" si="2"/>
        <v>3184034.5831995918</v>
      </c>
      <c r="AB59">
        <f t="shared" si="26"/>
        <v>343493953623.96558</v>
      </c>
      <c r="AC59">
        <f t="shared" si="19"/>
        <v>367609778244.96014</v>
      </c>
      <c r="AD59">
        <f t="shared" si="3"/>
        <v>389893540734.33521</v>
      </c>
      <c r="AE59">
        <f t="shared" si="4"/>
        <v>256119908877.22769</v>
      </c>
      <c r="AH59">
        <f t="shared" si="5"/>
        <v>87209444.754658297</v>
      </c>
      <c r="AI59">
        <f t="shared" si="5"/>
        <v>95337615.570410326</v>
      </c>
      <c r="AJ59">
        <f t="shared" si="5"/>
        <v>102894285.41931349</v>
      </c>
      <c r="AK59">
        <f t="shared" si="10"/>
        <v>57147867.920115672</v>
      </c>
      <c r="AN59">
        <f t="shared" si="27"/>
        <v>40.632832674735596</v>
      </c>
      <c r="AO59">
        <f t="shared" si="20"/>
        <v>42.768087237286636</v>
      </c>
      <c r="AP59">
        <f t="shared" si="6"/>
        <v>44.641369013087619</v>
      </c>
      <c r="AQ59">
        <f t="shared" si="11"/>
        <v>32.653198722711942</v>
      </c>
      <c r="AT59">
        <f t="shared" si="28"/>
        <v>0.13675524126015626</v>
      </c>
      <c r="AU59">
        <f t="shared" si="21"/>
        <v>0.1206316018221909</v>
      </c>
      <c r="AV59">
        <f t="shared" si="7"/>
        <v>0.1072775993598023</v>
      </c>
      <c r="AW59">
        <f t="shared" si="12"/>
        <v>0.17507680015968008</v>
      </c>
      <c r="AZ59">
        <f t="shared" si="29"/>
        <v>0.25988996892096039</v>
      </c>
      <c r="BA59">
        <f t="shared" si="22"/>
        <v>0.23324350461766866</v>
      </c>
      <c r="BB59">
        <f t="shared" si="8"/>
        <v>0.20976000210790285</v>
      </c>
      <c r="BC59">
        <f t="shared" si="13"/>
        <v>0.31516036068013314</v>
      </c>
    </row>
    <row r="60" spans="1:55" x14ac:dyDescent="0.3">
      <c r="A60">
        <f t="shared" si="14"/>
        <v>50</v>
      </c>
      <c r="C60" s="7"/>
      <c r="D60" s="7">
        <v>98811.423968241506</v>
      </c>
      <c r="E60" s="7">
        <v>98759.101313107662</v>
      </c>
      <c r="F60" s="7">
        <v>98833.872331599443</v>
      </c>
      <c r="G60" s="7">
        <v>97309.29212272221</v>
      </c>
      <c r="J60">
        <f t="shared" si="30"/>
        <v>8.30545224957734E-2</v>
      </c>
      <c r="K60">
        <f t="shared" si="23"/>
        <v>8.8859432966635885E-2</v>
      </c>
      <c r="L60">
        <f t="shared" si="15"/>
        <v>9.4176126786323783E-2</v>
      </c>
      <c r="M60">
        <f t="shared" si="16"/>
        <v>0.1041887110968604</v>
      </c>
      <c r="P60">
        <f t="shared" si="24"/>
        <v>98811.423968241506</v>
      </c>
      <c r="Q60">
        <f t="shared" si="17"/>
        <v>98759.101313107662</v>
      </c>
      <c r="R60">
        <f t="shared" si="0"/>
        <v>98833.872331599443</v>
      </c>
      <c r="S60">
        <f t="shared" si="0"/>
        <v>97309.29212272221</v>
      </c>
      <c r="V60">
        <f t="shared" si="25"/>
        <v>3922087.6208363585</v>
      </c>
      <c r="W60">
        <f t="shared" si="18"/>
        <v>4129508.9316797084</v>
      </c>
      <c r="X60">
        <f t="shared" si="1"/>
        <v>4316664.6822929541</v>
      </c>
      <c r="Y60">
        <f t="shared" si="2"/>
        <v>3086624.6128859553</v>
      </c>
      <c r="AB60">
        <f t="shared" si="26"/>
        <v>333715695386.42615</v>
      </c>
      <c r="AC60">
        <f t="shared" si="19"/>
        <v>357845829606.12036</v>
      </c>
      <c r="AD60">
        <f t="shared" si="3"/>
        <v>380117748746.01764</v>
      </c>
      <c r="AE60">
        <f t="shared" si="4"/>
        <v>246631203182.02484</v>
      </c>
      <c r="AH60">
        <f t="shared" si="5"/>
        <v>83237926.874237776</v>
      </c>
      <c r="AI60">
        <f t="shared" si="5"/>
        <v>91158709.225217968</v>
      </c>
      <c r="AJ60">
        <f t="shared" si="5"/>
        <v>98528190.890860647</v>
      </c>
      <c r="AK60">
        <f t="shared" si="10"/>
        <v>54012555.101771384</v>
      </c>
      <c r="AN60">
        <f t="shared" si="27"/>
        <v>39.692653575126471</v>
      </c>
      <c r="AO60">
        <f t="shared" si="20"/>
        <v>41.813958174724959</v>
      </c>
      <c r="AP60">
        <f t="shared" si="6"/>
        <v>43.675964327392016</v>
      </c>
      <c r="AQ60">
        <f t="shared" si="11"/>
        <v>31.71973144140479</v>
      </c>
      <c r="AT60">
        <f t="shared" si="28"/>
        <v>0.13890278763980102</v>
      </c>
      <c r="AU60">
        <f t="shared" si="21"/>
        <v>0.12255395420322579</v>
      </c>
      <c r="AV60">
        <f t="shared" si="7"/>
        <v>0.10902806764849282</v>
      </c>
      <c r="AW60">
        <f t="shared" si="12"/>
        <v>0.17887383058091655</v>
      </c>
      <c r="AZ60">
        <f t="shared" si="29"/>
        <v>0.26336235436022137</v>
      </c>
      <c r="BA60">
        <f t="shared" si="22"/>
        <v>0.2363581830725332</v>
      </c>
      <c r="BB60">
        <f t="shared" si="8"/>
        <v>0.21260453832806314</v>
      </c>
      <c r="BC60">
        <f t="shared" si="13"/>
        <v>0.32147344873538536</v>
      </c>
    </row>
    <row r="61" spans="1:55" x14ac:dyDescent="0.3">
      <c r="A61">
        <f t="shared" si="14"/>
        <v>51</v>
      </c>
      <c r="C61" s="7"/>
      <c r="D61" s="7">
        <v>98651.631780777243</v>
      </c>
      <c r="E61" s="7">
        <v>98642.097404195651</v>
      </c>
      <c r="F61" s="7">
        <v>98748.832884470554</v>
      </c>
      <c r="G61" s="7">
        <v>97086.311575145795</v>
      </c>
      <c r="J61">
        <f t="shared" si="30"/>
        <v>0.11625459625113257</v>
      </c>
      <c r="K61">
        <f t="shared" si="23"/>
        <v>0.12652471224819287</v>
      </c>
      <c r="L61">
        <f t="shared" si="15"/>
        <v>0.13775675738314264</v>
      </c>
      <c r="M61">
        <f t="shared" si="16"/>
        <v>0.11399520385871319</v>
      </c>
      <c r="P61">
        <f t="shared" si="24"/>
        <v>98651.631780777243</v>
      </c>
      <c r="Q61">
        <f t="shared" si="17"/>
        <v>98642.097404195651</v>
      </c>
      <c r="R61">
        <f t="shared" si="0"/>
        <v>98748.832884470554</v>
      </c>
      <c r="S61">
        <f t="shared" si="0"/>
        <v>97086.311575145795</v>
      </c>
      <c r="V61">
        <f t="shared" si="25"/>
        <v>3823356.0929618492</v>
      </c>
      <c r="W61">
        <f t="shared" si="18"/>
        <v>4030808.3323210566</v>
      </c>
      <c r="X61">
        <f t="shared" si="1"/>
        <v>4217873.3296849197</v>
      </c>
      <c r="Y61">
        <f t="shared" si="2"/>
        <v>2989426.8110370212</v>
      </c>
      <c r="AB61">
        <f t="shared" si="26"/>
        <v>323967778662.19586</v>
      </c>
      <c r="AC61">
        <f t="shared" si="19"/>
        <v>348104020151.53705</v>
      </c>
      <c r="AD61">
        <f t="shared" si="3"/>
        <v>370358016793.25024</v>
      </c>
      <c r="AE61">
        <f t="shared" si="4"/>
        <v>237183786354.39981</v>
      </c>
      <c r="AH61">
        <f t="shared" si="5"/>
        <v>79365218.333354294</v>
      </c>
      <c r="AI61">
        <f t="shared" si="5"/>
        <v>87078560.343543321</v>
      </c>
      <c r="AJ61">
        <f t="shared" si="5"/>
        <v>94260928.971492305</v>
      </c>
      <c r="AK61">
        <f t="shared" si="10"/>
        <v>50974547.971522197</v>
      </c>
      <c r="AN61">
        <f t="shared" si="27"/>
        <v>38.756136355231064</v>
      </c>
      <c r="AO61">
        <f t="shared" si="20"/>
        <v>40.862962552432606</v>
      </c>
      <c r="AP61">
        <f t="shared" si="6"/>
        <v>42.713146135302132</v>
      </c>
      <c r="AQ61">
        <f t="shared" si="11"/>
        <v>30.791434575441404</v>
      </c>
      <c r="AT61">
        <f t="shared" si="28"/>
        <v>0.14107983986881567</v>
      </c>
      <c r="AU61">
        <f t="shared" si="21"/>
        <v>0.12450313917753386</v>
      </c>
      <c r="AV61">
        <f t="shared" si="7"/>
        <v>0.11080656927965893</v>
      </c>
      <c r="AW61">
        <f t="shared" si="12"/>
        <v>0.18277984223779153</v>
      </c>
      <c r="AZ61">
        <f t="shared" si="29"/>
        <v>0.26685372458956563</v>
      </c>
      <c r="BA61">
        <f t="shared" si="22"/>
        <v>0.23948098452586886</v>
      </c>
      <c r="BB61">
        <f t="shared" si="8"/>
        <v>0.21545628254238067</v>
      </c>
      <c r="BC61">
        <f t="shared" si="13"/>
        <v>0.32795667804913775</v>
      </c>
    </row>
    <row r="62" spans="1:55" x14ac:dyDescent="0.3">
      <c r="A62">
        <f t="shared" si="14"/>
        <v>52</v>
      </c>
      <c r="C62" s="7"/>
      <c r="D62" s="7">
        <v>98472.448257051306</v>
      </c>
      <c r="E62" s="7">
        <v>98509.480217135555</v>
      </c>
      <c r="F62" s="7">
        <v>98651.323596672009</v>
      </c>
      <c r="G62" s="7">
        <v>96837.014015019347</v>
      </c>
      <c r="J62">
        <f t="shared" si="30"/>
        <v>6.6819053468937559E-2</v>
      </c>
      <c r="K62">
        <f t="shared" si="23"/>
        <v>6.0895655913956619E-2</v>
      </c>
      <c r="L62">
        <f t="shared" si="15"/>
        <v>5.6203519615044446E-2</v>
      </c>
      <c r="M62">
        <f t="shared" si="16"/>
        <v>0.10672750214376439</v>
      </c>
      <c r="P62">
        <f t="shared" si="24"/>
        <v>98472.448257051306</v>
      </c>
      <c r="Q62">
        <f t="shared" si="17"/>
        <v>98509.480217135555</v>
      </c>
      <c r="R62">
        <f t="shared" si="0"/>
        <v>98651.323596672009</v>
      </c>
      <c r="S62">
        <f t="shared" si="0"/>
        <v>96837.014015019347</v>
      </c>
      <c r="V62">
        <f t="shared" si="25"/>
        <v>3724794.0529429349</v>
      </c>
      <c r="W62">
        <f t="shared" si="18"/>
        <v>3932232.5435103909</v>
      </c>
      <c r="X62">
        <f t="shared" si="1"/>
        <v>4119173.2514443481</v>
      </c>
      <c r="Y62">
        <f t="shared" si="2"/>
        <v>2892465.148241939</v>
      </c>
      <c r="AB62">
        <f t="shared" si="26"/>
        <v>314253300253.94452</v>
      </c>
      <c r="AC62">
        <f t="shared" si="19"/>
        <v>338386832546.28223</v>
      </c>
      <c r="AD62">
        <f t="shared" si="3"/>
        <v>360616310556.21692</v>
      </c>
      <c r="AE62">
        <f t="shared" si="4"/>
        <v>227782217123.3064</v>
      </c>
      <c r="AH62">
        <f t="shared" si="5"/>
        <v>75591158.192362219</v>
      </c>
      <c r="AI62">
        <f t="shared" si="5"/>
        <v>83097050.957059845</v>
      </c>
      <c r="AJ62">
        <f t="shared" si="5"/>
        <v>90092413.806701645</v>
      </c>
      <c r="AK62">
        <f t="shared" si="10"/>
        <v>48033622.766679399</v>
      </c>
      <c r="AN62">
        <f t="shared" si="27"/>
        <v>37.825748408527197</v>
      </c>
      <c r="AO62">
        <f t="shared" si="20"/>
        <v>39.917300698805086</v>
      </c>
      <c r="AP62">
        <f t="shared" si="6"/>
        <v>41.754870601485855</v>
      </c>
      <c r="AQ62">
        <f t="shared" si="11"/>
        <v>29.869416954485192</v>
      </c>
      <c r="AT62">
        <f t="shared" si="28"/>
        <v>0.14323277125523148</v>
      </c>
      <c r="AU62">
        <f t="shared" si="21"/>
        <v>0.12643297006409082</v>
      </c>
      <c r="AV62">
        <f t="shared" si="7"/>
        <v>0.11257350545935818</v>
      </c>
      <c r="AW62">
        <f t="shared" si="12"/>
        <v>0.18677580429225371</v>
      </c>
      <c r="AZ62">
        <f t="shared" si="29"/>
        <v>0.27023759885829746</v>
      </c>
      <c r="BA62">
        <f t="shared" si="22"/>
        <v>0.24249372664444704</v>
      </c>
      <c r="BB62">
        <f t="shared" si="8"/>
        <v>0.21820480004678167</v>
      </c>
      <c r="BC62">
        <f t="shared" si="13"/>
        <v>0.33457093231606455</v>
      </c>
    </row>
    <row r="63" spans="1:55" x14ac:dyDescent="0.3">
      <c r="A63">
        <f t="shared" si="14"/>
        <v>53</v>
      </c>
      <c r="C63" s="7"/>
      <c r="D63" s="7">
        <v>98281.242743740717</v>
      </c>
      <c r="E63" s="7">
        <v>98368.731692746514</v>
      </c>
      <c r="F63" s="7">
        <v>98548.281803557882</v>
      </c>
      <c r="G63" s="7">
        <v>96560.390098056741</v>
      </c>
      <c r="J63">
        <f t="shared" si="30"/>
        <v>6.697494664157988E-2</v>
      </c>
      <c r="K63">
        <f t="shared" si="23"/>
        <v>7.3795816507544146E-2</v>
      </c>
      <c r="L63">
        <f t="shared" si="15"/>
        <v>8.0085309377434896E-2</v>
      </c>
      <c r="M63">
        <f t="shared" si="16"/>
        <v>0.12246194820943562</v>
      </c>
      <c r="P63">
        <f t="shared" si="24"/>
        <v>98281.242743740717</v>
      </c>
      <c r="Q63">
        <f t="shared" si="17"/>
        <v>98368.731692746514</v>
      </c>
      <c r="R63">
        <f t="shared" si="0"/>
        <v>98548.281803557882</v>
      </c>
      <c r="S63">
        <f t="shared" si="0"/>
        <v>96560.390098056741</v>
      </c>
      <c r="V63">
        <f t="shared" si="25"/>
        <v>3626417.2074425388</v>
      </c>
      <c r="W63">
        <f t="shared" si="18"/>
        <v>3833793.43755545</v>
      </c>
      <c r="X63">
        <f t="shared" si="1"/>
        <v>4020573.4487442332</v>
      </c>
      <c r="Y63">
        <f t="shared" si="2"/>
        <v>2795766.4461854012</v>
      </c>
      <c r="AB63">
        <f t="shared" si="26"/>
        <v>304575293476.70673</v>
      </c>
      <c r="AC63">
        <f t="shared" si="19"/>
        <v>328696573314.22852</v>
      </c>
      <c r="AD63">
        <f t="shared" si="3"/>
        <v>350894388578.91443</v>
      </c>
      <c r="AE63">
        <f t="shared" si="4"/>
        <v>218431571767.15466</v>
      </c>
      <c r="AH63">
        <f t="shared" si="5"/>
        <v>71915568.495962262</v>
      </c>
      <c r="AI63">
        <f t="shared" si="5"/>
        <v>79214049.695570633</v>
      </c>
      <c r="AJ63">
        <f t="shared" si="5"/>
        <v>86022549.043423444</v>
      </c>
      <c r="AK63">
        <f t="shared" si="10"/>
        <v>45189530.021458805</v>
      </c>
      <c r="AN63">
        <f t="shared" si="27"/>
        <v>36.898365407304496</v>
      </c>
      <c r="AO63">
        <f t="shared" si="20"/>
        <v>38.973699991682878</v>
      </c>
      <c r="AP63">
        <f t="shared" si="6"/>
        <v>40.79800657264304</v>
      </c>
      <c r="AQ63">
        <f t="shared" si="11"/>
        <v>28.953553764088049</v>
      </c>
      <c r="AT63">
        <f t="shared" si="28"/>
        <v>0.14543271056574536</v>
      </c>
      <c r="AU63">
        <f t="shared" si="21"/>
        <v>0.12841570725224616</v>
      </c>
      <c r="AV63">
        <f t="shared" si="7"/>
        <v>0.11439641467541239</v>
      </c>
      <c r="AW63">
        <f t="shared" si="12"/>
        <v>0.19087520333195473</v>
      </c>
      <c r="AZ63">
        <f t="shared" si="29"/>
        <v>0.2736784470046843</v>
      </c>
      <c r="BA63">
        <f t="shared" si="22"/>
        <v>0.24557600984299971</v>
      </c>
      <c r="BB63">
        <f t="shared" si="8"/>
        <v>0.22103116074422499</v>
      </c>
      <c r="BC63">
        <f t="shared" si="13"/>
        <v>0.34134479334756695</v>
      </c>
    </row>
    <row r="64" spans="1:55" x14ac:dyDescent="0.3">
      <c r="A64">
        <f t="shared" si="14"/>
        <v>54</v>
      </c>
      <c r="C64" s="7"/>
      <c r="D64" s="7">
        <v>98077.203389974398</v>
      </c>
      <c r="E64" s="7">
        <v>98217.428449297789</v>
      </c>
      <c r="F64" s="7">
        <v>98436.769897843595</v>
      </c>
      <c r="G64" s="7">
        <v>96248.679899244889</v>
      </c>
      <c r="J64">
        <f t="shared" si="30"/>
        <v>6.7595729018417386E-2</v>
      </c>
      <c r="K64">
        <f t="shared" si="23"/>
        <v>6.7353591873206553E-2</v>
      </c>
      <c r="L64">
        <f t="shared" si="15"/>
        <v>6.9193759888202255E-2</v>
      </c>
      <c r="M64">
        <f t="shared" si="16"/>
        <v>9.5478045365036512E-2</v>
      </c>
      <c r="P64">
        <f t="shared" si="24"/>
        <v>98077.203389974398</v>
      </c>
      <c r="Q64">
        <f t="shared" si="17"/>
        <v>98217.428449297789</v>
      </c>
      <c r="R64">
        <f t="shared" si="0"/>
        <v>98436.769897843595</v>
      </c>
      <c r="S64">
        <f t="shared" si="0"/>
        <v>96248.679899244889</v>
      </c>
      <c r="V64">
        <f t="shared" si="25"/>
        <v>3528237.9843756813</v>
      </c>
      <c r="W64">
        <f t="shared" si="18"/>
        <v>3735500.3574844277</v>
      </c>
      <c r="X64">
        <f t="shared" si="1"/>
        <v>3922080.9228935326</v>
      </c>
      <c r="Y64">
        <f t="shared" si="2"/>
        <v>2699361.9111867505</v>
      </c>
      <c r="AB64">
        <f t="shared" si="26"/>
        <v>294936130165.35681</v>
      </c>
      <c r="AC64">
        <f t="shared" si="19"/>
        <v>319035041816.65753</v>
      </c>
      <c r="AD64">
        <f t="shared" si="3"/>
        <v>341193609894.22137</v>
      </c>
      <c r="AE64">
        <f t="shared" si="4"/>
        <v>209137729301.91122</v>
      </c>
      <c r="AH64">
        <f t="shared" si="5"/>
        <v>68338257.903332636</v>
      </c>
      <c r="AI64">
        <f t="shared" si="5"/>
        <v>75429415.406654313</v>
      </c>
      <c r="AJ64">
        <f t="shared" si="5"/>
        <v>82051231.150263369</v>
      </c>
      <c r="AK64">
        <f t="shared" si="10"/>
        <v>42441991.818622634</v>
      </c>
      <c r="AN64">
        <f t="shared" si="27"/>
        <v>35.9740883959212</v>
      </c>
      <c r="AO64">
        <f t="shared" si="20"/>
        <v>38.03296845032736</v>
      </c>
      <c r="AP64">
        <f t="shared" si="6"/>
        <v>39.843657273230498</v>
      </c>
      <c r="AQ64">
        <f t="shared" si="11"/>
        <v>28.045703213929777</v>
      </c>
      <c r="AT64">
        <f t="shared" si="28"/>
        <v>0.14768126925785441</v>
      </c>
      <c r="AU64">
        <f t="shared" si="21"/>
        <v>0.13043701285000475</v>
      </c>
      <c r="AV64">
        <f t="shared" si="7"/>
        <v>0.11625497004263752</v>
      </c>
      <c r="AW64">
        <f t="shared" si="12"/>
        <v>0.19503593863817159</v>
      </c>
      <c r="AZ64">
        <f t="shared" si="29"/>
        <v>0.27717815420545605</v>
      </c>
      <c r="BA64">
        <f t="shared" si="22"/>
        <v>0.24868952702457128</v>
      </c>
      <c r="BB64">
        <f t="shared" si="8"/>
        <v>0.22387724322302738</v>
      </c>
      <c r="BC64">
        <f t="shared" si="13"/>
        <v>0.34819431223767272</v>
      </c>
    </row>
    <row r="65" spans="1:55" x14ac:dyDescent="0.3">
      <c r="A65">
        <f t="shared" si="14"/>
        <v>55</v>
      </c>
      <c r="C65" s="7"/>
      <c r="D65" s="7">
        <v>97859.364067448201</v>
      </c>
      <c r="E65" s="7">
        <v>98055.84095895903</v>
      </c>
      <c r="F65" s="7">
        <v>98317.408913050604</v>
      </c>
      <c r="G65" s="7">
        <v>95906.903500730186</v>
      </c>
      <c r="J65">
        <f t="shared" si="30"/>
        <v>8.5066085537292072E-2</v>
      </c>
      <c r="K65">
        <f t="shared" si="23"/>
        <v>9.2212623949937803E-2</v>
      </c>
      <c r="L65">
        <f t="shared" si="15"/>
        <v>9.8495017622710998E-2</v>
      </c>
      <c r="M65">
        <f t="shared" si="16"/>
        <v>0.15548466506268938</v>
      </c>
      <c r="P65">
        <f t="shared" si="24"/>
        <v>97859.364067448201</v>
      </c>
      <c r="Q65">
        <f t="shared" si="17"/>
        <v>98055.84095895903</v>
      </c>
      <c r="R65">
        <f t="shared" si="0"/>
        <v>98317.408913050604</v>
      </c>
      <c r="S65">
        <f t="shared" si="0"/>
        <v>95906.903500730186</v>
      </c>
      <c r="V65">
        <f t="shared" si="25"/>
        <v>3430269.70064697</v>
      </c>
      <c r="W65">
        <f t="shared" si="18"/>
        <v>3637363.7227802994</v>
      </c>
      <c r="X65">
        <f t="shared" si="1"/>
        <v>3823703.8334880853</v>
      </c>
      <c r="Y65">
        <f t="shared" si="2"/>
        <v>2603284.1194867631</v>
      </c>
      <c r="AB65">
        <f t="shared" si="26"/>
        <v>285338341594.10999</v>
      </c>
      <c r="AC65">
        <f t="shared" si="19"/>
        <v>309404240569.72955</v>
      </c>
      <c r="AD65">
        <f t="shared" si="3"/>
        <v>331515556987.08032</v>
      </c>
      <c r="AE65">
        <f t="shared" si="4"/>
        <v>199906777509.70615</v>
      </c>
      <c r="AH65">
        <f t="shared" si="5"/>
        <v>64859022.214098178</v>
      </c>
      <c r="AI65">
        <f t="shared" si="5"/>
        <v>71742996.832146138</v>
      </c>
      <c r="AJ65">
        <f t="shared" si="5"/>
        <v>78178348.718821287</v>
      </c>
      <c r="AK65">
        <f t="shared" si="10"/>
        <v>39790697.284652419</v>
      </c>
      <c r="AN65">
        <f t="shared" si="27"/>
        <v>35.053055303759223</v>
      </c>
      <c r="AO65">
        <f t="shared" si="20"/>
        <v>37.0948195151649</v>
      </c>
      <c r="AP65">
        <f t="shared" si="6"/>
        <v>38.891421933929024</v>
      </c>
      <c r="AQ65">
        <f t="shared" si="11"/>
        <v>27.143865816363711</v>
      </c>
      <c r="AT65">
        <f t="shared" si="28"/>
        <v>0.14997935012840447</v>
      </c>
      <c r="AU65">
        <f t="shared" si="21"/>
        <v>0.13250683446249678</v>
      </c>
      <c r="AV65">
        <f t="shared" si="7"/>
        <v>0.11816112096389342</v>
      </c>
      <c r="AW65">
        <f t="shared" si="12"/>
        <v>0.19932534756106735</v>
      </c>
      <c r="AZ65">
        <f t="shared" si="29"/>
        <v>0.28073686906848477</v>
      </c>
      <c r="BA65">
        <f t="shared" si="22"/>
        <v>0.25185608917334529</v>
      </c>
      <c r="BB65">
        <f t="shared" si="8"/>
        <v>0.22677145613985769</v>
      </c>
      <c r="BC65">
        <f t="shared" si="13"/>
        <v>0.35525644311415733</v>
      </c>
    </row>
    <row r="66" spans="1:55" x14ac:dyDescent="0.3">
      <c r="A66">
        <f t="shared" si="14"/>
        <v>56</v>
      </c>
      <c r="C66" s="7"/>
      <c r="D66" s="7">
        <v>97622.733159437164</v>
      </c>
      <c r="E66" s="7">
        <v>97878.950034785274</v>
      </c>
      <c r="F66" s="7">
        <v>98185.860976261349</v>
      </c>
      <c r="G66" s="7">
        <v>95509.168851628638</v>
      </c>
      <c r="J66">
        <f t="shared" si="30"/>
        <v>5.9799414150319294E-2</v>
      </c>
      <c r="K66">
        <f t="shared" si="23"/>
        <v>5.6779938664859746E-2</v>
      </c>
      <c r="L66">
        <f t="shared" si="15"/>
        <v>5.5384672336064561E-2</v>
      </c>
      <c r="M66">
        <f t="shared" si="16"/>
        <v>6.3613819176445582E-2</v>
      </c>
      <c r="P66">
        <f t="shared" si="24"/>
        <v>97622.733159437164</v>
      </c>
      <c r="Q66">
        <f t="shared" si="17"/>
        <v>97878.950034785274</v>
      </c>
      <c r="R66">
        <f t="shared" si="0"/>
        <v>98185.860976261349</v>
      </c>
      <c r="S66">
        <f t="shared" si="0"/>
        <v>95509.168851628638</v>
      </c>
      <c r="V66">
        <f t="shared" si="25"/>
        <v>3332528.6520335274</v>
      </c>
      <c r="W66">
        <f t="shared" si="18"/>
        <v>3539396.3272834271</v>
      </c>
      <c r="X66">
        <f t="shared" si="1"/>
        <v>3725452.1985434294</v>
      </c>
      <c r="Y66">
        <f t="shared" si="2"/>
        <v>2507576.0833105836</v>
      </c>
      <c r="AB66">
        <f t="shared" si="26"/>
        <v>275785024343.87238</v>
      </c>
      <c r="AC66">
        <f t="shared" si="19"/>
        <v>299806627381.75574</v>
      </c>
      <c r="AD66">
        <f t="shared" si="3"/>
        <v>321862171775.71075</v>
      </c>
      <c r="AE66">
        <f t="shared" si="4"/>
        <v>190746736138.2677</v>
      </c>
      <c r="AH66">
        <f t="shared" si="5"/>
        <v>61477642.75700026</v>
      </c>
      <c r="AI66">
        <f t="shared" si="5"/>
        <v>68154631.548024625</v>
      </c>
      <c r="AJ66">
        <f t="shared" si="5"/>
        <v>74403781.665133595</v>
      </c>
      <c r="AK66">
        <f t="shared" si="10"/>
        <v>37235300.327807836</v>
      </c>
      <c r="AN66">
        <f t="shared" si="27"/>
        <v>34.13680957478266</v>
      </c>
      <c r="AO66">
        <f t="shared" si="20"/>
        <v>36.160955200536563</v>
      </c>
      <c r="AP66">
        <f t="shared" si="6"/>
        <v>37.942858182443821</v>
      </c>
      <c r="AQ66">
        <f t="shared" si="11"/>
        <v>26.254820489601862</v>
      </c>
      <c r="AT66">
        <f t="shared" si="28"/>
        <v>0.15229289160202109</v>
      </c>
      <c r="AU66">
        <f t="shared" si="21"/>
        <v>0.13458836238047345</v>
      </c>
      <c r="AV66">
        <f t="shared" si="7"/>
        <v>0.12008243073022173</v>
      </c>
      <c r="AW66">
        <f t="shared" si="12"/>
        <v>0.20355107433426955</v>
      </c>
      <c r="AZ66">
        <f t="shared" si="29"/>
        <v>0.28427549199750696</v>
      </c>
      <c r="BA66">
        <f t="shared" si="22"/>
        <v>0.2549830629107645</v>
      </c>
      <c r="BB66">
        <f t="shared" si="8"/>
        <v>0.22962469084215853</v>
      </c>
      <c r="BC66">
        <f t="shared" si="13"/>
        <v>0.36215171803098528</v>
      </c>
    </row>
    <row r="67" spans="1:55" x14ac:dyDescent="0.3">
      <c r="A67">
        <f t="shared" si="14"/>
        <v>57</v>
      </c>
      <c r="C67" s="7">
        <v>100000</v>
      </c>
      <c r="D67" s="7">
        <v>97372.146344410605</v>
      </c>
      <c r="E67" s="7">
        <v>97692.072240843947</v>
      </c>
      <c r="F67" s="7">
        <v>98047.013089581829</v>
      </c>
      <c r="G67" s="7">
        <v>95087.126022492084</v>
      </c>
      <c r="J67">
        <f t="shared" si="30"/>
        <v>7.1676312841688822E-2</v>
      </c>
      <c r="K67">
        <f t="shared" si="23"/>
        <v>7.1369463649739562E-2</v>
      </c>
      <c r="L67">
        <f t="shared" si="15"/>
        <v>7.1044081548221588E-2</v>
      </c>
      <c r="M67">
        <f t="shared" si="16"/>
        <v>0.10731074165473214</v>
      </c>
      <c r="O67">
        <f t="shared" ref="O67:S82" si="31">C67</f>
        <v>100000</v>
      </c>
      <c r="P67">
        <f t="shared" si="24"/>
        <v>97372.146344410605</v>
      </c>
      <c r="Q67">
        <f t="shared" si="17"/>
        <v>97692.072240843947</v>
      </c>
      <c r="R67">
        <f t="shared" si="0"/>
        <v>98047.013089581829</v>
      </c>
      <c r="S67">
        <f t="shared" si="0"/>
        <v>95087.126022492084</v>
      </c>
      <c r="U67">
        <f t="shared" ref="U67:U73" si="32">U68+0.5*O67+0.5*O68</f>
        <v>3096706.0115762693</v>
      </c>
      <c r="V67">
        <f t="shared" si="25"/>
        <v>3235031.2122816038</v>
      </c>
      <c r="W67">
        <f t="shared" si="18"/>
        <v>3441610.8161456124</v>
      </c>
      <c r="X67">
        <f t="shared" si="1"/>
        <v>3627335.7615105081</v>
      </c>
      <c r="Y67">
        <f t="shared" si="2"/>
        <v>2412277.9358735229</v>
      </c>
      <c r="AA67">
        <f t="shared" ref="AA67:AA73" si="33">AA68+(O67^2+O67*O68+O68^2)/3</f>
        <v>255241678008.95978</v>
      </c>
      <c r="AB67">
        <f t="shared" si="26"/>
        <v>266279268352.87967</v>
      </c>
      <c r="AC67">
        <f t="shared" si="19"/>
        <v>290244618282.99628</v>
      </c>
      <c r="AD67">
        <f t="shared" si="3"/>
        <v>312235334953.1142</v>
      </c>
      <c r="AE67">
        <f t="shared" si="4"/>
        <v>181664984389.98621</v>
      </c>
      <c r="AG67">
        <f t="shared" si="5"/>
        <v>52899836.019560553</v>
      </c>
      <c r="AH67">
        <f t="shared" si="5"/>
        <v>58193883.70707728</v>
      </c>
      <c r="AI67">
        <f t="shared" si="5"/>
        <v>64664143.549459592</v>
      </c>
      <c r="AJ67">
        <f t="shared" si="5"/>
        <v>70727399.255763859</v>
      </c>
      <c r="AK67">
        <f t="shared" si="10"/>
        <v>34775408.48845154</v>
      </c>
      <c r="AM67">
        <f t="shared" ref="AM67:AM73" si="34">U67/O67</f>
        <v>30.967060115762692</v>
      </c>
      <c r="AN67">
        <f t="shared" si="27"/>
        <v>33.223373764804585</v>
      </c>
      <c r="AO67">
        <f t="shared" si="20"/>
        <v>35.229172001397203</v>
      </c>
      <c r="AP67">
        <f t="shared" si="6"/>
        <v>36.995882354889787</v>
      </c>
      <c r="AQ67">
        <f t="shared" si="11"/>
        <v>25.36913288664249</v>
      </c>
      <c r="AS67">
        <f t="shared" ref="AS67:AS73" si="35">1-AA67/O67/U67</f>
        <v>0.17576393414550207</v>
      </c>
      <c r="AT67">
        <f t="shared" si="28"/>
        <v>0.15467417571438302</v>
      </c>
      <c r="AU67">
        <f t="shared" si="21"/>
        <v>0.13673706210823355</v>
      </c>
      <c r="AV67">
        <f t="shared" si="7"/>
        <v>0.1220699301980025</v>
      </c>
      <c r="AW67">
        <f t="shared" si="12"/>
        <v>0.20800551003534917</v>
      </c>
      <c r="AY67">
        <f t="shared" ref="AY67:AY73" si="36">SQRT(2*O67*AG67/U67^2-1)</f>
        <v>0.32136661049382742</v>
      </c>
      <c r="AZ67">
        <f t="shared" si="29"/>
        <v>0.28790964279264775</v>
      </c>
      <c r="BA67">
        <f t="shared" si="22"/>
        <v>0.25820178169882246</v>
      </c>
      <c r="BB67">
        <f t="shared" si="8"/>
        <v>0.23256653648194095</v>
      </c>
      <c r="BC67">
        <f t="shared" si="13"/>
        <v>0.36945845431583052</v>
      </c>
    </row>
    <row r="68" spans="1:55" x14ac:dyDescent="0.3">
      <c r="A68">
        <f t="shared" si="14"/>
        <v>58</v>
      </c>
      <c r="C68" s="7">
        <v>99644.395799493519</v>
      </c>
      <c r="D68" s="7">
        <v>97103.655691692009</v>
      </c>
      <c r="E68" s="7">
        <v>97491.766962868031</v>
      </c>
      <c r="F68" s="7">
        <v>97898.160593477442</v>
      </c>
      <c r="G68" s="7">
        <v>94619.467567395171</v>
      </c>
      <c r="I68">
        <f t="shared" ref="I68:I75" si="37">LN(LN(C68/C69)/LN(C67/C68))</f>
        <v>0.11388026892710733</v>
      </c>
      <c r="J68">
        <f t="shared" si="30"/>
        <v>7.1332798335537975E-2</v>
      </c>
      <c r="K68">
        <f t="shared" si="23"/>
        <v>6.4677474267842053E-2</v>
      </c>
      <c r="L68">
        <f t="shared" si="15"/>
        <v>5.7931239785909354E-2</v>
      </c>
      <c r="M68">
        <f t="shared" si="16"/>
        <v>0.12552124665174866</v>
      </c>
      <c r="O68">
        <f t="shared" si="31"/>
        <v>99644.395799493519</v>
      </c>
      <c r="P68">
        <f t="shared" si="24"/>
        <v>97103.655691692009</v>
      </c>
      <c r="Q68">
        <f t="shared" si="17"/>
        <v>97491.766962868031</v>
      </c>
      <c r="R68">
        <f t="shared" si="0"/>
        <v>97898.160593477442</v>
      </c>
      <c r="S68">
        <f t="shared" si="0"/>
        <v>94619.467567395171</v>
      </c>
      <c r="U68">
        <f t="shared" si="32"/>
        <v>2996883.8136765226</v>
      </c>
      <c r="V68">
        <f t="shared" si="25"/>
        <v>3137793.3112635529</v>
      </c>
      <c r="W68">
        <f t="shared" si="18"/>
        <v>3344018.8965437561</v>
      </c>
      <c r="X68">
        <f t="shared" si="1"/>
        <v>3529363.1746689789</v>
      </c>
      <c r="Y68">
        <f t="shared" si="2"/>
        <v>2317424.6390785789</v>
      </c>
      <c r="AA68">
        <f t="shared" si="33"/>
        <v>245277196277.56128</v>
      </c>
      <c r="AB68">
        <f t="shared" si="26"/>
        <v>256824052951.21411</v>
      </c>
      <c r="AC68">
        <f t="shared" si="19"/>
        <v>280720432167.90411</v>
      </c>
      <c r="AD68">
        <f t="shared" si="3"/>
        <v>302636705334.271</v>
      </c>
      <c r="AE68">
        <f t="shared" si="4"/>
        <v>172667818251.74731</v>
      </c>
      <c r="AG68">
        <f t="shared" si="5"/>
        <v>49853070.740617536</v>
      </c>
      <c r="AH68">
        <f t="shared" si="5"/>
        <v>55007493.819525763</v>
      </c>
      <c r="AI68">
        <f t="shared" si="5"/>
        <v>61271345.385221407</v>
      </c>
      <c r="AJ68">
        <f t="shared" si="5"/>
        <v>67149062.192048788</v>
      </c>
      <c r="AK68">
        <f t="shared" si="10"/>
        <v>32410596.17251341</v>
      </c>
      <c r="AM68">
        <f t="shared" si="34"/>
        <v>30.075788905448462</v>
      </c>
      <c r="AN68">
        <f t="shared" si="27"/>
        <v>32.313853571344133</v>
      </c>
      <c r="AO68">
        <f t="shared" si="20"/>
        <v>34.300526092807431</v>
      </c>
      <c r="AP68">
        <f t="shared" si="6"/>
        <v>36.051373726261062</v>
      </c>
      <c r="AQ68">
        <f t="shared" si="11"/>
        <v>24.492049032382614</v>
      </c>
      <c r="AS68">
        <f t="shared" si="35"/>
        <v>0.17863841143002224</v>
      </c>
      <c r="AT68">
        <f t="shared" si="28"/>
        <v>0.15710052725082846</v>
      </c>
      <c r="AU68">
        <f t="shared" si="21"/>
        <v>0.13893217962437521</v>
      </c>
      <c r="AV68">
        <f t="shared" si="7"/>
        <v>0.12410767982912896</v>
      </c>
      <c r="AW68">
        <f t="shared" si="12"/>
        <v>0.21254584029623336</v>
      </c>
      <c r="AY68">
        <f t="shared" si="36"/>
        <v>0.32588857984979375</v>
      </c>
      <c r="AZ68">
        <f t="shared" si="29"/>
        <v>0.29158628450478641</v>
      </c>
      <c r="BA68">
        <f t="shared" si="22"/>
        <v>0.26145881184829106</v>
      </c>
      <c r="BB68">
        <f t="shared" si="8"/>
        <v>0.23555106455009625</v>
      </c>
      <c r="BC68">
        <f t="shared" si="13"/>
        <v>0.37689924677395215</v>
      </c>
    </row>
    <row r="69" spans="1:55" x14ac:dyDescent="0.3">
      <c r="A69">
        <f t="shared" si="14"/>
        <v>59</v>
      </c>
      <c r="C69" s="7">
        <v>99247.401668580162</v>
      </c>
      <c r="D69" s="7">
        <v>96816.137626370706</v>
      </c>
      <c r="E69" s="7">
        <v>97278.531067201475</v>
      </c>
      <c r="F69" s="7">
        <v>97740.676812997466</v>
      </c>
      <c r="G69" s="7">
        <v>94092.046228383304</v>
      </c>
      <c r="I69">
        <f t="shared" si="37"/>
        <v>7.3985902059613876E-2</v>
      </c>
      <c r="J69">
        <f t="shared" si="30"/>
        <v>6.4037964696571942E-2</v>
      </c>
      <c r="K69">
        <f t="shared" si="23"/>
        <v>6.5746158414628456E-2</v>
      </c>
      <c r="L69">
        <f t="shared" si="15"/>
        <v>6.7813059879108836E-2</v>
      </c>
      <c r="M69">
        <f t="shared" si="16"/>
        <v>6.600653873070135E-2</v>
      </c>
      <c r="O69">
        <f t="shared" si="31"/>
        <v>99247.401668580162</v>
      </c>
      <c r="P69">
        <f t="shared" si="24"/>
        <v>96816.137626370706</v>
      </c>
      <c r="Q69">
        <f t="shared" si="17"/>
        <v>97278.531067201475</v>
      </c>
      <c r="R69">
        <f t="shared" si="0"/>
        <v>97740.676812997466</v>
      </c>
      <c r="S69">
        <f t="shared" si="0"/>
        <v>94092.046228383304</v>
      </c>
      <c r="U69">
        <f t="shared" si="32"/>
        <v>2897437.9149424857</v>
      </c>
      <c r="V69">
        <f t="shared" si="25"/>
        <v>3040833.4146045218</v>
      </c>
      <c r="W69">
        <f t="shared" si="18"/>
        <v>3246633.7475287211</v>
      </c>
      <c r="X69">
        <f t="shared" si="1"/>
        <v>3431543.7559657418</v>
      </c>
      <c r="Y69">
        <f t="shared" si="2"/>
        <v>2223068.8821806894</v>
      </c>
      <c r="AA69">
        <f t="shared" si="33"/>
        <v>235387696368.84598</v>
      </c>
      <c r="AB69">
        <f t="shared" si="26"/>
        <v>247422824502.19757</v>
      </c>
      <c r="AC69">
        <f t="shared" si="19"/>
        <v>271236561130.09464</v>
      </c>
      <c r="AD69">
        <f t="shared" si="3"/>
        <v>293068064592.06995</v>
      </c>
      <c r="AE69">
        <f t="shared" si="4"/>
        <v>163764786210.86801</v>
      </c>
      <c r="AG69">
        <f t="shared" si="5"/>
        <v>46905942.959152274</v>
      </c>
      <c r="AH69">
        <f t="shared" si="5"/>
        <v>51918204.416430503</v>
      </c>
      <c r="AI69">
        <f t="shared" si="5"/>
        <v>57976036.83284314</v>
      </c>
      <c r="AJ69">
        <f t="shared" si="5"/>
        <v>63668621.85037981</v>
      </c>
      <c r="AK69">
        <f t="shared" si="10"/>
        <v>30140393.363662027</v>
      </c>
      <c r="AM69">
        <f t="shared" si="34"/>
        <v>29.194093409296372</v>
      </c>
      <c r="AN69">
        <f t="shared" si="27"/>
        <v>31.408332217709354</v>
      </c>
      <c r="AO69">
        <f t="shared" si="20"/>
        <v>33.374617317010035</v>
      </c>
      <c r="AP69">
        <f t="shared" si="6"/>
        <v>35.10865555526231</v>
      </c>
      <c r="AQ69">
        <f t="shared" si="11"/>
        <v>23.626533498748486</v>
      </c>
      <c r="AS69">
        <f t="shared" si="35"/>
        <v>0.18144008338944295</v>
      </c>
      <c r="AT69">
        <f t="shared" si="28"/>
        <v>0.15957419561778707</v>
      </c>
      <c r="AU69">
        <f t="shared" si="21"/>
        <v>0.14118835050562251</v>
      </c>
      <c r="AV69">
        <f t="shared" si="7"/>
        <v>0.12621695516335507</v>
      </c>
      <c r="AW69">
        <f t="shared" si="12"/>
        <v>0.21708486327076748</v>
      </c>
      <c r="AY69">
        <f t="shared" si="36"/>
        <v>0.33021794746888261</v>
      </c>
      <c r="AZ69">
        <f t="shared" si="29"/>
        <v>0.29530795258253645</v>
      </c>
      <c r="BA69">
        <f t="shared" si="22"/>
        <v>0.26478527538156665</v>
      </c>
      <c r="BB69">
        <f t="shared" si="8"/>
        <v>0.23862802940469177</v>
      </c>
      <c r="BC69">
        <f t="shared" si="13"/>
        <v>0.3843093395569272</v>
      </c>
    </row>
    <row r="70" spans="1:55" x14ac:dyDescent="0.3">
      <c r="A70">
        <f t="shared" si="14"/>
        <v>60</v>
      </c>
      <c r="C70" s="7">
        <v>98821.690052434293</v>
      </c>
      <c r="D70" s="7">
        <v>96510.542740007499</v>
      </c>
      <c r="E70" s="7">
        <v>97051.319586345751</v>
      </c>
      <c r="F70" s="7">
        <v>97572.423758630364</v>
      </c>
      <c r="G70" s="7">
        <v>93531.884228307361</v>
      </c>
      <c r="I70">
        <f t="shared" si="37"/>
        <v>7.5419463699286163E-2</v>
      </c>
      <c r="J70">
        <f t="shared" si="30"/>
        <v>8.8003303609348188E-2</v>
      </c>
      <c r="K70">
        <f t="shared" si="23"/>
        <v>8.4772620253709477E-2</v>
      </c>
      <c r="L70">
        <f t="shared" si="15"/>
        <v>8.1338692901501267E-2</v>
      </c>
      <c r="M70">
        <f t="shared" si="16"/>
        <v>0.16230165292006632</v>
      </c>
      <c r="O70">
        <f t="shared" si="31"/>
        <v>98821.690052434293</v>
      </c>
      <c r="P70">
        <f t="shared" si="24"/>
        <v>96510.542740007499</v>
      </c>
      <c r="Q70">
        <f t="shared" si="17"/>
        <v>97051.319586345751</v>
      </c>
      <c r="R70">
        <f t="shared" si="0"/>
        <v>97572.423758630364</v>
      </c>
      <c r="S70">
        <f t="shared" si="0"/>
        <v>93531.884228307361</v>
      </c>
      <c r="U70">
        <f t="shared" si="32"/>
        <v>2798403.3690819787</v>
      </c>
      <c r="V70">
        <f t="shared" si="25"/>
        <v>2944170.0744213327</v>
      </c>
      <c r="W70">
        <f t="shared" si="18"/>
        <v>3149468.8222019472</v>
      </c>
      <c r="X70">
        <f t="shared" si="1"/>
        <v>3333887.205679928</v>
      </c>
      <c r="Y70">
        <f t="shared" si="2"/>
        <v>2129256.9169523437</v>
      </c>
      <c r="AA70">
        <f t="shared" si="33"/>
        <v>225579839992.5174</v>
      </c>
      <c r="AB70">
        <f t="shared" si="26"/>
        <v>238079015384.47375</v>
      </c>
      <c r="AC70">
        <f t="shared" si="19"/>
        <v>261795534114.24905</v>
      </c>
      <c r="AD70">
        <f t="shared" si="3"/>
        <v>283531260419.25336</v>
      </c>
      <c r="AE70">
        <f t="shared" si="4"/>
        <v>154964075242.4082</v>
      </c>
      <c r="AG70">
        <f t="shared" si="5"/>
        <v>44058057.793108054</v>
      </c>
      <c r="AH70">
        <f t="shared" si="5"/>
        <v>48925728.138158105</v>
      </c>
      <c r="AI70">
        <f t="shared" si="5"/>
        <v>54778004.482267879</v>
      </c>
      <c r="AJ70">
        <f t="shared" si="5"/>
        <v>60285920.390644833</v>
      </c>
      <c r="AK70">
        <f t="shared" si="10"/>
        <v>27964277.144262183</v>
      </c>
      <c r="AM70">
        <f t="shared" si="34"/>
        <v>28.31770401414062</v>
      </c>
      <c r="AN70">
        <f t="shared" si="27"/>
        <v>30.506201611079074</v>
      </c>
      <c r="AO70">
        <f t="shared" si="20"/>
        <v>32.451581654177211</v>
      </c>
      <c r="AP70">
        <f t="shared" si="6"/>
        <v>34.168334425381566</v>
      </c>
      <c r="AQ70">
        <f t="shared" si="11"/>
        <v>22.765038195476933</v>
      </c>
      <c r="AS70">
        <f t="shared" si="35"/>
        <v>0.18428642031321674</v>
      </c>
      <c r="AT70">
        <f t="shared" si="28"/>
        <v>0.16211683262379528</v>
      </c>
      <c r="AU70">
        <f t="shared" si="21"/>
        <v>0.14350767513192331</v>
      </c>
      <c r="AV70">
        <f t="shared" si="7"/>
        <v>0.12838849762487603</v>
      </c>
      <c r="AW70">
        <f t="shared" si="12"/>
        <v>0.22188591139289504</v>
      </c>
      <c r="AY70">
        <f t="shared" si="36"/>
        <v>0.3345959261757202</v>
      </c>
      <c r="AZ70">
        <f t="shared" si="29"/>
        <v>0.29911950276449972</v>
      </c>
      <c r="BA70">
        <f t="shared" si="22"/>
        <v>0.26818202025347865</v>
      </c>
      <c r="BB70">
        <f t="shared" si="8"/>
        <v>0.24176854463982489</v>
      </c>
      <c r="BC70">
        <f t="shared" si="13"/>
        <v>0.39219581511006169</v>
      </c>
    </row>
    <row r="71" spans="1:55" x14ac:dyDescent="0.3">
      <c r="A71">
        <f t="shared" si="14"/>
        <v>61</v>
      </c>
      <c r="C71" s="7">
        <v>98364.67571863097</v>
      </c>
      <c r="D71" s="7">
        <v>96177.937321862963</v>
      </c>
      <c r="E71" s="7">
        <v>96804.609963461015</v>
      </c>
      <c r="F71" s="7">
        <v>97390.240711987964</v>
      </c>
      <c r="G71" s="7">
        <v>92877.279872343905</v>
      </c>
      <c r="I71">
        <f t="shared" si="37"/>
        <v>5.6423358827922952E-2</v>
      </c>
      <c r="J71">
        <f t="shared" si="30"/>
        <v>6.1593709561820954E-2</v>
      </c>
      <c r="K71">
        <f t="shared" si="23"/>
        <v>6.0376627759982891E-2</v>
      </c>
      <c r="L71">
        <f t="shared" si="15"/>
        <v>6.0027586809859319E-2</v>
      </c>
      <c r="M71">
        <f t="shared" si="16"/>
        <v>2.4889397404934493E-2</v>
      </c>
      <c r="O71">
        <f t="shared" si="31"/>
        <v>98364.67571863097</v>
      </c>
      <c r="P71">
        <f t="shared" si="24"/>
        <v>96177.937321862963</v>
      </c>
      <c r="Q71">
        <f t="shared" si="17"/>
        <v>96804.609963461015</v>
      </c>
      <c r="R71">
        <f t="shared" si="0"/>
        <v>97390.240711987964</v>
      </c>
      <c r="S71">
        <f t="shared" si="0"/>
        <v>92877.279872343905</v>
      </c>
      <c r="U71">
        <f t="shared" si="32"/>
        <v>2699810.1861964464</v>
      </c>
      <c r="V71">
        <f t="shared" si="25"/>
        <v>2847825.8343903972</v>
      </c>
      <c r="W71">
        <f t="shared" si="18"/>
        <v>3052540.8574270438</v>
      </c>
      <c r="X71">
        <f t="shared" si="1"/>
        <v>3236405.8734446187</v>
      </c>
      <c r="Y71">
        <f t="shared" si="2"/>
        <v>2036052.3349020181</v>
      </c>
      <c r="AA71">
        <f t="shared" si="33"/>
        <v>215859206875.84219</v>
      </c>
      <c r="AB71">
        <f t="shared" si="26"/>
        <v>228796793578.47162</v>
      </c>
      <c r="AC71">
        <f t="shared" si="19"/>
        <v>252400498686.70764</v>
      </c>
      <c r="AD71">
        <f t="shared" si="3"/>
        <v>274028647518.99408</v>
      </c>
      <c r="AE71">
        <f t="shared" si="4"/>
        <v>146276945418.32709</v>
      </c>
      <c r="AG71">
        <f t="shared" si="5"/>
        <v>41308989.099996656</v>
      </c>
      <c r="AH71">
        <f t="shared" si="5"/>
        <v>46029757.90087042</v>
      </c>
      <c r="AI71">
        <f t="shared" si="5"/>
        <v>51677020.201588623</v>
      </c>
      <c r="AJ71">
        <f t="shared" si="5"/>
        <v>57000789.033003114</v>
      </c>
      <c r="AK71">
        <f t="shared" si="10"/>
        <v>25881677.068698</v>
      </c>
      <c r="AM71">
        <f t="shared" si="34"/>
        <v>27.44694847486884</v>
      </c>
      <c r="AN71">
        <f t="shared" si="27"/>
        <v>29.609969954544194</v>
      </c>
      <c r="AO71">
        <f t="shared" si="20"/>
        <v>31.533011274764995</v>
      </c>
      <c r="AP71">
        <f t="shared" si="6"/>
        <v>33.231316092704169</v>
      </c>
      <c r="AQ71">
        <f t="shared" si="11"/>
        <v>21.921963452208015</v>
      </c>
      <c r="AS71">
        <f t="shared" si="35"/>
        <v>0.18717288847567404</v>
      </c>
      <c r="AT71">
        <f t="shared" si="28"/>
        <v>0.16466428604963068</v>
      </c>
      <c r="AU71">
        <f t="shared" si="21"/>
        <v>0.14585287465760866</v>
      </c>
      <c r="AV71">
        <f t="shared" si="7"/>
        <v>0.13060418095028425</v>
      </c>
      <c r="AW71">
        <f t="shared" si="12"/>
        <v>0.22646947192322042</v>
      </c>
      <c r="AY71">
        <f t="shared" si="36"/>
        <v>0.33901199752889266</v>
      </c>
      <c r="AZ71">
        <f t="shared" si="29"/>
        <v>0.30287811453433261</v>
      </c>
      <c r="BA71">
        <f t="shared" si="22"/>
        <v>0.27155745183095942</v>
      </c>
      <c r="BB71">
        <f t="shared" si="8"/>
        <v>0.24492145035475402</v>
      </c>
      <c r="BC71">
        <f t="shared" si="13"/>
        <v>0.39965277528163079</v>
      </c>
    </row>
    <row r="72" spans="1:55" x14ac:dyDescent="0.3">
      <c r="A72">
        <f t="shared" si="14"/>
        <v>62</v>
      </c>
      <c r="C72" s="7">
        <v>97883.434649605551</v>
      </c>
      <c r="D72" s="7">
        <v>95825.459146609865</v>
      </c>
      <c r="E72" s="7">
        <v>96543.23286223707</v>
      </c>
      <c r="F72" s="7">
        <v>97197.159126029481</v>
      </c>
      <c r="G72" s="7">
        <v>92210.934120201942</v>
      </c>
      <c r="I72">
        <f t="shared" si="37"/>
        <v>7.7648933483368154E-2</v>
      </c>
      <c r="J72">
        <f t="shared" si="30"/>
        <v>5.3658006888587892E-2</v>
      </c>
      <c r="K72">
        <f t="shared" si="23"/>
        <v>4.514802605285826E-2</v>
      </c>
      <c r="L72">
        <f t="shared" si="15"/>
        <v>3.5896181912235245E-2</v>
      </c>
      <c r="M72">
        <f t="shared" si="16"/>
        <v>0.13280278805203685</v>
      </c>
      <c r="O72">
        <f t="shared" si="31"/>
        <v>97883.434649605551</v>
      </c>
      <c r="P72">
        <f t="shared" si="24"/>
        <v>95825.459146609865</v>
      </c>
      <c r="Q72">
        <f t="shared" si="17"/>
        <v>96543.23286223707</v>
      </c>
      <c r="R72">
        <f t="shared" si="0"/>
        <v>97197.159126029481</v>
      </c>
      <c r="S72">
        <f t="shared" si="0"/>
        <v>92210.934120201942</v>
      </c>
      <c r="U72">
        <f t="shared" si="32"/>
        <v>2601686.1310123284</v>
      </c>
      <c r="V72">
        <f t="shared" si="25"/>
        <v>2751824.1361561609</v>
      </c>
      <c r="W72">
        <f t="shared" si="18"/>
        <v>2955866.936014195</v>
      </c>
      <c r="X72">
        <f t="shared" si="1"/>
        <v>3139112.17352561</v>
      </c>
      <c r="Y72">
        <f t="shared" si="2"/>
        <v>1943508.2279057452</v>
      </c>
      <c r="AA72">
        <f t="shared" si="33"/>
        <v>206230857370.65244</v>
      </c>
      <c r="AB72">
        <f t="shared" si="26"/>
        <v>219580457161.20889</v>
      </c>
      <c r="AC72">
        <f t="shared" si="19"/>
        <v>243054645912.20416</v>
      </c>
      <c r="AD72">
        <f t="shared" si="3"/>
        <v>264562580368.35571</v>
      </c>
      <c r="AE72">
        <f t="shared" si="4"/>
        <v>137712496677.20102</v>
      </c>
      <c r="AG72">
        <f t="shared" si="5"/>
        <v>38658281.044814691</v>
      </c>
      <c r="AH72">
        <f t="shared" si="5"/>
        <v>43229962.288778409</v>
      </c>
      <c r="AI72">
        <f t="shared" si="5"/>
        <v>48672838.086293101</v>
      </c>
      <c r="AJ72">
        <f t="shared" si="5"/>
        <v>53813046.099650167</v>
      </c>
      <c r="AK72">
        <f t="shared" si="10"/>
        <v>23891952.316106796</v>
      </c>
      <c r="AM72">
        <f t="shared" si="34"/>
        <v>26.5794323659117</v>
      </c>
      <c r="AN72">
        <f t="shared" si="27"/>
        <v>28.717046186504138</v>
      </c>
      <c r="AO72">
        <f t="shared" si="20"/>
        <v>30.617028748478795</v>
      </c>
      <c r="AP72">
        <f t="shared" si="6"/>
        <v>32.296336659956488</v>
      </c>
      <c r="AQ72">
        <f t="shared" si="11"/>
        <v>21.076765423201081</v>
      </c>
      <c r="AS72">
        <f t="shared" si="35"/>
        <v>0.19017804731263421</v>
      </c>
      <c r="AT72">
        <f t="shared" si="28"/>
        <v>0.16729322034384675</v>
      </c>
      <c r="AU72">
        <f t="shared" si="21"/>
        <v>0.14827928551456504</v>
      </c>
      <c r="AV72">
        <f t="shared" si="7"/>
        <v>0.13290234631491282</v>
      </c>
      <c r="AW72">
        <f t="shared" si="12"/>
        <v>0.23156958388461324</v>
      </c>
      <c r="AY72">
        <f t="shared" si="36"/>
        <v>0.34362415450256373</v>
      </c>
      <c r="AZ72">
        <f t="shared" si="29"/>
        <v>0.3067465242106569</v>
      </c>
      <c r="BA72">
        <f t="shared" si="22"/>
        <v>0.27503537858884775</v>
      </c>
      <c r="BB72">
        <f t="shared" si="8"/>
        <v>0.24817654817640378</v>
      </c>
      <c r="BC72">
        <f t="shared" si="13"/>
        <v>0.40806566033894381</v>
      </c>
    </row>
    <row r="73" spans="1:55" x14ac:dyDescent="0.3">
      <c r="A73">
        <f t="shared" si="14"/>
        <v>63</v>
      </c>
      <c r="C73" s="7">
        <v>97365.983561275629</v>
      </c>
      <c r="D73" s="7">
        <v>95454.951532981373</v>
      </c>
      <c r="E73" s="7">
        <v>96270.539998719105</v>
      </c>
      <c r="F73" s="7">
        <v>96997.424776794694</v>
      </c>
      <c r="G73" s="7">
        <v>91455.796146003151</v>
      </c>
      <c r="I73">
        <f t="shared" si="37"/>
        <v>6.4738075603891457E-2</v>
      </c>
      <c r="J73">
        <f t="shared" si="30"/>
        <v>3.8185637221498703E-2</v>
      </c>
      <c r="K73">
        <f t="shared" si="23"/>
        <v>2.8126173478053958E-2</v>
      </c>
      <c r="L73">
        <f t="shared" si="15"/>
        <v>1.8861249858326684E-2</v>
      </c>
      <c r="M73">
        <f t="shared" si="16"/>
        <v>0.10176062927677759</v>
      </c>
      <c r="O73">
        <f t="shared" si="31"/>
        <v>97365.983561275629</v>
      </c>
      <c r="P73">
        <f t="shared" si="24"/>
        <v>95454.951532981373</v>
      </c>
      <c r="Q73">
        <f t="shared" si="17"/>
        <v>96270.539998719105</v>
      </c>
      <c r="R73">
        <f t="shared" si="0"/>
        <v>96997.424776794694</v>
      </c>
      <c r="S73">
        <f t="shared" si="0"/>
        <v>91455.796146003151</v>
      </c>
      <c r="U73">
        <f t="shared" si="32"/>
        <v>2504061.421906888</v>
      </c>
      <c r="V73">
        <f t="shared" si="25"/>
        <v>2656183.9308163654</v>
      </c>
      <c r="W73">
        <f t="shared" si="18"/>
        <v>2859460.0495837168</v>
      </c>
      <c r="X73">
        <f t="shared" si="1"/>
        <v>3042014.8815741981</v>
      </c>
      <c r="Y73">
        <f t="shared" si="2"/>
        <v>1851674.8627726426</v>
      </c>
      <c r="AA73">
        <f t="shared" si="33"/>
        <v>196700251229.76147</v>
      </c>
      <c r="AB73">
        <f t="shared" si="26"/>
        <v>210433396844.11298</v>
      </c>
      <c r="AC73">
        <f t="shared" si="19"/>
        <v>233760351964.2019</v>
      </c>
      <c r="AD73">
        <f t="shared" si="3"/>
        <v>255134692939.57376</v>
      </c>
      <c r="AE73">
        <f t="shared" si="4"/>
        <v>129279082206.08463</v>
      </c>
      <c r="AG73">
        <f t="shared" si="5"/>
        <v>36105450.389279112</v>
      </c>
      <c r="AH73">
        <f t="shared" si="5"/>
        <v>40525989.130926616</v>
      </c>
      <c r="AI73">
        <f t="shared" si="5"/>
        <v>45765197.317899436</v>
      </c>
      <c r="AJ73">
        <f t="shared" si="5"/>
        <v>50722499.216629364</v>
      </c>
      <c r="AK73">
        <f t="shared" si="10"/>
        <v>21994423.698932119</v>
      </c>
      <c r="AM73">
        <f t="shared" si="34"/>
        <v>25.718031393695103</v>
      </c>
      <c r="AN73">
        <f t="shared" si="27"/>
        <v>27.826570420483709</v>
      </c>
      <c r="AO73">
        <f t="shared" si="20"/>
        <v>29.702337284300704</v>
      </c>
      <c r="AP73">
        <f t="shared" si="6"/>
        <v>31.361810775639874</v>
      </c>
      <c r="AQ73">
        <f t="shared" si="11"/>
        <v>20.246664955128331</v>
      </c>
      <c r="AS73">
        <f t="shared" si="35"/>
        <v>0.19322453589203636</v>
      </c>
      <c r="AT73">
        <f t="shared" si="28"/>
        <v>0.17003828541474009</v>
      </c>
      <c r="AU73">
        <f t="shared" si="21"/>
        <v>0.1508324076745805</v>
      </c>
      <c r="AV73">
        <f t="shared" si="7"/>
        <v>0.13533480260270359</v>
      </c>
      <c r="AW73">
        <f t="shared" si="12"/>
        <v>0.23659975565678215</v>
      </c>
      <c r="AY73">
        <f t="shared" si="36"/>
        <v>0.34827497470347396</v>
      </c>
      <c r="AZ73">
        <f t="shared" si="29"/>
        <v>0.31079544987164925</v>
      </c>
      <c r="BA73">
        <f t="shared" si="22"/>
        <v>0.27871511763454082</v>
      </c>
      <c r="BB73">
        <f t="shared" si="8"/>
        <v>0.2516550525790997</v>
      </c>
      <c r="BC73">
        <f t="shared" si="13"/>
        <v>0.41634276138008847</v>
      </c>
    </row>
    <row r="74" spans="1:55" x14ac:dyDescent="0.3">
      <c r="A74">
        <f t="shared" si="14"/>
        <v>64</v>
      </c>
      <c r="C74" s="7">
        <v>96816.941213710277</v>
      </c>
      <c r="D74" s="7">
        <v>95071.539464669404</v>
      </c>
      <c r="E74" s="7">
        <v>95990.87193713797</v>
      </c>
      <c r="F74" s="7">
        <v>96794.309669661845</v>
      </c>
      <c r="G74" s="7">
        <v>90626.979987041166</v>
      </c>
      <c r="I74">
        <f t="shared" si="37"/>
        <v>4.5620385963142641E-2</v>
      </c>
      <c r="J74">
        <f t="shared" si="30"/>
        <v>4.3671348154628691E-2</v>
      </c>
      <c r="K74">
        <f t="shared" si="23"/>
        <v>3.1890633530512885E-2</v>
      </c>
      <c r="L74">
        <f t="shared" si="15"/>
        <v>2.0283924749358091E-2</v>
      </c>
      <c r="M74">
        <f t="shared" si="16"/>
        <v>0.10025968771358343</v>
      </c>
      <c r="O74">
        <f t="shared" si="31"/>
        <v>96816.941213710277</v>
      </c>
      <c r="P74">
        <f t="shared" si="24"/>
        <v>95071.539464669404</v>
      </c>
      <c r="Q74">
        <f t="shared" si="17"/>
        <v>95990.87193713797</v>
      </c>
      <c r="R74">
        <f>F74</f>
        <v>96794.309669661845</v>
      </c>
      <c r="S74">
        <f>G74</f>
        <v>90626.979987041166</v>
      </c>
      <c r="U74">
        <f t="shared" ref="U74:U137" si="38">U75+0.5*O74+0.5*O75</f>
        <v>2406969.9595193951</v>
      </c>
      <c r="V74">
        <f t="shared" ref="V74:V137" si="39">V75+0.5*P74+0.5*P75</f>
        <v>2560920.6853175401</v>
      </c>
      <c r="W74">
        <f t="shared" ref="W74:W137" si="40">W75+0.5*Q74+0.5*Q75</f>
        <v>2763329.343615788</v>
      </c>
      <c r="X74">
        <f t="shared" ref="X74:X137" si="41">X75+0.5*R74+0.5*R75</f>
        <v>2945119.0143509698</v>
      </c>
      <c r="Y74">
        <f t="shared" ref="Y74:Y137" si="42">Y75+0.5*S74+0.5*S75</f>
        <v>1760633.4747061206</v>
      </c>
      <c r="AA74">
        <f t="shared" ref="AA74:AA137" si="43">AA75+(O74^2+O74*O75+O75^2)/3</f>
        <v>187273474040.59457</v>
      </c>
      <c r="AB74">
        <f t="shared" ref="AB74:AB137" si="44">AB75+(P74^2+P74*P75+P75^2)/3</f>
        <v>201358298650.74234</v>
      </c>
      <c r="AC74">
        <f t="shared" ref="AC74:AC137" si="45">AC75+(Q74^2+Q74*Q75+Q75^2)/3</f>
        <v>224519232816.45752</v>
      </c>
      <c r="AD74">
        <f t="shared" ref="AD74:AD137" si="46">AD75+(R74^2+R74*R75+R75^2)/3</f>
        <v>245745880416.65338</v>
      </c>
      <c r="AE74">
        <f t="shared" ref="AE74:AE137" si="47">AE75+(S74^2+S74*S75+S75^2)/3</f>
        <v>120990490620.3201</v>
      </c>
      <c r="AG74">
        <f t="shared" ref="AG74:AG137" si="48">AG75+U75+(O74+2*O75)/6</f>
        <v>33649980.452094935</v>
      </c>
      <c r="AH74">
        <f t="shared" ref="AH74:AH137" si="49">AH75+V75+(P74+2*P75)/6</f>
        <v>37917468.773865357</v>
      </c>
      <c r="AI74">
        <f t="shared" ref="AI74:AI137" si="50">AI75+W75+(Q74+2*Q75)/6</f>
        <v>42953825.926971488</v>
      </c>
      <c r="AJ74">
        <f t="shared" ref="AJ74:AJ137" si="51">AJ75+X75+(R74+2*R75)/6</f>
        <v>47728949.194925703</v>
      </c>
      <c r="AK74">
        <f t="shared" si="10"/>
        <v>20188338.598205984</v>
      </c>
      <c r="AM74">
        <f t="shared" ref="AM74:AM130" si="52">U74/O74</f>
        <v>24.861041149878254</v>
      </c>
      <c r="AN74">
        <f t="shared" ref="AN74:AN130" si="53">V74/P74</f>
        <v>26.936775187796684</v>
      </c>
      <c r="AO74">
        <f t="shared" ref="AO74:AO130" si="54">W74/Q74</f>
        <v>28.787417885165411</v>
      </c>
      <c r="AP74">
        <f t="shared" ref="AP74:AP130" si="55">X74/R74</f>
        <v>30.426571814004639</v>
      </c>
      <c r="AQ74">
        <f t="shared" si="11"/>
        <v>19.427255271640686</v>
      </c>
      <c r="AS74">
        <f t="shared" ref="AS74:AS130" si="56">1-AA74/O74/U74</f>
        <v>0.19637351865452868</v>
      </c>
      <c r="AT74">
        <f t="shared" ref="AT74:AT130" si="57">1-AB74/P74/V74</f>
        <v>0.17296692453086471</v>
      </c>
      <c r="AU74">
        <f t="shared" ref="AU74:AU130" si="58">1-AC74/Q74/W74</f>
        <v>0.15357016275585755</v>
      </c>
      <c r="AV74">
        <f t="shared" ref="AV74:AV130" si="59">1-AD74/R74/X74</f>
        <v>0.13794778956581477</v>
      </c>
      <c r="AW74">
        <f t="shared" si="12"/>
        <v>0.24172842684628659</v>
      </c>
      <c r="AY74">
        <f t="shared" ref="AY74:AY130" si="60">SQRT(2*O74*AG74/U74^2-1)</f>
        <v>0.35308536038859628</v>
      </c>
      <c r="AZ74">
        <f t="shared" ref="AZ74:AZ130" si="61">SQRT(2*P74*AH74/V74^2-1)</f>
        <v>0.31516471075769692</v>
      </c>
      <c r="BA74">
        <f t="shared" ref="BA74:BA130" si="62">SQRT(2*Q74*AI74/W74^2-1)</f>
        <v>0.28272281889816614</v>
      </c>
      <c r="BB74">
        <f t="shared" ref="BB74:BB130" si="63">SQRT(2*R74*AJ74/X74^2-1)</f>
        <v>0.25546217602576454</v>
      </c>
      <c r="BC74">
        <f t="shared" si="13"/>
        <v>0.42480231445879713</v>
      </c>
    </row>
    <row r="75" spans="1:55" x14ac:dyDescent="0.3">
      <c r="A75">
        <f t="shared" si="14"/>
        <v>65</v>
      </c>
      <c r="C75" s="7">
        <v>96245.587091163572</v>
      </c>
      <c r="D75" s="7">
        <v>94672.656873102736</v>
      </c>
      <c r="E75" s="7">
        <v>95702.993679057967</v>
      </c>
      <c r="F75" s="7">
        <v>96587.471006843611</v>
      </c>
      <c r="G75" s="7">
        <v>89719.496838652631</v>
      </c>
      <c r="I75">
        <f t="shared" si="37"/>
        <v>6.3766560822440005E-2</v>
      </c>
      <c r="J75">
        <f t="shared" si="30"/>
        <v>5.3608759802253346E-2</v>
      </c>
      <c r="K75">
        <f t="shared" si="23"/>
        <v>4.5067458958540446E-2</v>
      </c>
      <c r="L75">
        <f t="shared" si="15"/>
        <v>3.6793306939973153E-2</v>
      </c>
      <c r="M75">
        <f t="shared" si="16"/>
        <v>9.1949869574852044E-2</v>
      </c>
      <c r="O75">
        <f t="shared" si="31"/>
        <v>96245.587091163572</v>
      </c>
      <c r="P75">
        <f t="shared" si="24"/>
        <v>94672.656873102736</v>
      </c>
      <c r="Q75">
        <f t="shared" si="24"/>
        <v>95702.993679057967</v>
      </c>
      <c r="R75">
        <f t="shared" si="24"/>
        <v>96587.471006843611</v>
      </c>
      <c r="S75">
        <f t="shared" si="24"/>
        <v>89719.496838652631</v>
      </c>
      <c r="U75">
        <f t="shared" si="38"/>
        <v>2310438.6953669582</v>
      </c>
      <c r="V75">
        <f t="shared" si="39"/>
        <v>2466048.5871486543</v>
      </c>
      <c r="W75">
        <f t="shared" si="40"/>
        <v>2667482.4108076901</v>
      </c>
      <c r="X75">
        <f t="shared" si="41"/>
        <v>2848428.124012717</v>
      </c>
      <c r="Y75">
        <f t="shared" si="42"/>
        <v>1670460.2362932737</v>
      </c>
      <c r="AA75">
        <f t="shared" si="43"/>
        <v>177955161877.93259</v>
      </c>
      <c r="AB75">
        <f t="shared" si="44"/>
        <v>192357570380.83209</v>
      </c>
      <c r="AC75">
        <f t="shared" si="45"/>
        <v>215332591381.57986</v>
      </c>
      <c r="AD75">
        <f t="shared" si="46"/>
        <v>236396748577.06332</v>
      </c>
      <c r="AE75">
        <f t="shared" si="47"/>
        <v>112859209067.32126</v>
      </c>
      <c r="AG75">
        <f t="shared" si="48"/>
        <v>31291323.737495303</v>
      </c>
      <c r="AH75">
        <f t="shared" si="49"/>
        <v>35404017.377848223</v>
      </c>
      <c r="AI75">
        <f t="shared" si="50"/>
        <v>40238444.039614588</v>
      </c>
      <c r="AJ75">
        <f t="shared" si="51"/>
        <v>44832192.862299092</v>
      </c>
      <c r="AK75">
        <f t="shared" ref="AK75:AK138" si="64">AK76+Y76+(S75+2*S76)/6</f>
        <v>18472867.366301984</v>
      </c>
      <c r="AM75">
        <f t="shared" si="52"/>
        <v>24.005658495059276</v>
      </c>
      <c r="AN75">
        <f t="shared" si="53"/>
        <v>26.048160774172576</v>
      </c>
      <c r="AO75">
        <f t="shared" si="54"/>
        <v>27.872507517927279</v>
      </c>
      <c r="AP75">
        <f t="shared" si="55"/>
        <v>29.49065851212622</v>
      </c>
      <c r="AQ75">
        <f t="shared" ref="AQ75:AQ130" si="65">Y75/S75</f>
        <v>18.618698222275498</v>
      </c>
      <c r="AS75">
        <f t="shared" si="56"/>
        <v>0.19973225225911229</v>
      </c>
      <c r="AT75">
        <f t="shared" si="57"/>
        <v>0.17608371156623592</v>
      </c>
      <c r="AU75">
        <f t="shared" si="58"/>
        <v>0.15650467606398244</v>
      </c>
      <c r="AV75">
        <f t="shared" si="59"/>
        <v>0.14075811557277773</v>
      </c>
      <c r="AW75">
        <f t="shared" ref="AW75:AW130" si="66">1-AE75/S75/Y75</f>
        <v>0.24696696136302043</v>
      </c>
      <c r="AY75">
        <f t="shared" si="60"/>
        <v>0.35826702551521011</v>
      </c>
      <c r="AZ75">
        <f t="shared" si="61"/>
        <v>0.31985974424679026</v>
      </c>
      <c r="BA75">
        <f t="shared" si="62"/>
        <v>0.28707911592762081</v>
      </c>
      <c r="BB75">
        <f t="shared" si="63"/>
        <v>0.25962950676180779</v>
      </c>
      <c r="BC75">
        <f t="shared" ref="BC75:BC130" si="67">SQRT(2*S75*AK75/Y75^2-1)</f>
        <v>0.4334710877335361</v>
      </c>
    </row>
    <row r="76" spans="1:55" x14ac:dyDescent="0.3">
      <c r="A76">
        <f t="shared" ref="A76:A139" si="68">A75+1</f>
        <v>66</v>
      </c>
      <c r="C76" s="7">
        <v>95640.324602842098</v>
      </c>
      <c r="D76" s="7">
        <v>94253.621325071261</v>
      </c>
      <c r="E76" s="7">
        <v>95402.768611593652</v>
      </c>
      <c r="F76" s="7">
        <v>96373.347465910963</v>
      </c>
      <c r="G76" s="7">
        <v>88735.052622607953</v>
      </c>
      <c r="I76">
        <f t="shared" ref="I76:I129" si="69">LN(LN(C76/C77)/LN(C75/C76))</f>
        <v>6.1928065423020477E-2</v>
      </c>
      <c r="J76">
        <f t="shared" ref="J76:J129" si="70">LN(LN(D76/D77)/LN(D75/D76))</f>
        <v>6.0070030210548291E-2</v>
      </c>
      <c r="K76">
        <f t="shared" ref="K76:K129" si="71">LN(LN(E76/E77)/LN(E75/E76))</f>
        <v>5.380410327526975E-2</v>
      </c>
      <c r="L76">
        <f t="shared" ref="L76:L129" si="72">LN(LN(F76/F77)/LN(F75/F76))</f>
        <v>4.75468524689905E-2</v>
      </c>
      <c r="M76">
        <f t="shared" ref="M76:M129" si="73">LN(LN(G76/G77)/LN(G75/G76))</f>
        <v>7.449146043663471E-2</v>
      </c>
      <c r="O76">
        <f t="shared" si="31"/>
        <v>95640.324602842098</v>
      </c>
      <c r="P76">
        <f t="shared" si="31"/>
        <v>94253.621325071261</v>
      </c>
      <c r="Q76">
        <f t="shared" si="31"/>
        <v>95402.768611593652</v>
      </c>
      <c r="R76">
        <f t="shared" si="31"/>
        <v>96373.347465910963</v>
      </c>
      <c r="S76">
        <f t="shared" si="31"/>
        <v>88735.052622607953</v>
      </c>
      <c r="U76">
        <f t="shared" si="38"/>
        <v>2214495.7395199551</v>
      </c>
      <c r="V76">
        <f t="shared" si="39"/>
        <v>2371585.4480495676</v>
      </c>
      <c r="W76">
        <f t="shared" si="40"/>
        <v>2571929.5296623642</v>
      </c>
      <c r="X76">
        <f t="shared" si="41"/>
        <v>2751947.7147763399</v>
      </c>
      <c r="Y76">
        <f t="shared" si="42"/>
        <v>1581232.9615626435</v>
      </c>
      <c r="AA76">
        <f t="shared" si="43"/>
        <v>168750080572.716</v>
      </c>
      <c r="AB76">
        <f t="shared" si="44"/>
        <v>183434271099.81274</v>
      </c>
      <c r="AC76">
        <f t="shared" si="45"/>
        <v>206202230775.14951</v>
      </c>
      <c r="AD76">
        <f t="shared" si="46"/>
        <v>227088275389.90359</v>
      </c>
      <c r="AE76">
        <f t="shared" si="47"/>
        <v>104897621750.59801</v>
      </c>
      <c r="AG76">
        <f t="shared" si="48"/>
        <v>29028906.958592542</v>
      </c>
      <c r="AH76">
        <f t="shared" si="49"/>
        <v>32985235.279878121</v>
      </c>
      <c r="AI76">
        <f t="shared" si="50"/>
        <v>37618763.088135183</v>
      </c>
      <c r="AJ76">
        <f t="shared" si="51"/>
        <v>42032022.786532976</v>
      </c>
      <c r="AK76">
        <f t="shared" si="64"/>
        <v>16847102.804392029</v>
      </c>
      <c r="AM76">
        <f t="shared" si="52"/>
        <v>23.154414716971257</v>
      </c>
      <c r="AN76">
        <f t="shared" si="53"/>
        <v>25.161743545854943</v>
      </c>
      <c r="AO76">
        <f t="shared" si="54"/>
        <v>26.958646662900044</v>
      </c>
      <c r="AP76">
        <f t="shared" si="55"/>
        <v>28.555070329478333</v>
      </c>
      <c r="AQ76">
        <f t="shared" si="65"/>
        <v>17.819710642283162</v>
      </c>
      <c r="AS76">
        <f t="shared" si="56"/>
        <v>0.20323894435098</v>
      </c>
      <c r="AT76">
        <f t="shared" si="57"/>
        <v>0.17937705438071816</v>
      </c>
      <c r="AU76">
        <f t="shared" si="58"/>
        <v>0.15962462843395564</v>
      </c>
      <c r="AV76">
        <f t="shared" si="59"/>
        <v>0.14375590472775845</v>
      </c>
      <c r="AW76">
        <f t="shared" si="66"/>
        <v>0.25239091226642751</v>
      </c>
      <c r="AY76">
        <f t="shared" si="60"/>
        <v>0.36369667432997371</v>
      </c>
      <c r="AZ76">
        <f t="shared" si="61"/>
        <v>0.32485201553209608</v>
      </c>
      <c r="BA76">
        <f t="shared" si="62"/>
        <v>0.29175155574973644</v>
      </c>
      <c r="BB76">
        <f t="shared" si="63"/>
        <v>0.26412360517115874</v>
      </c>
      <c r="BC76">
        <f t="shared" si="67"/>
        <v>0.44249345459943279</v>
      </c>
    </row>
    <row r="77" spans="1:55" x14ac:dyDescent="0.3">
      <c r="A77">
        <f t="shared" si="68"/>
        <v>67</v>
      </c>
      <c r="C77" s="7">
        <v>95000.572724382422</v>
      </c>
      <c r="D77" s="7">
        <v>93810.673229455846</v>
      </c>
      <c r="E77" s="7">
        <v>95086.969039596763</v>
      </c>
      <c r="F77" s="7">
        <v>96149.307012472869</v>
      </c>
      <c r="G77" s="7">
        <v>87686.558995718355</v>
      </c>
      <c r="I77">
        <f t="shared" si="69"/>
        <v>5.1340193819591172E-2</v>
      </c>
      <c r="J77">
        <f t="shared" si="70"/>
        <v>3.5991368611485365E-2</v>
      </c>
      <c r="K77">
        <f t="shared" si="71"/>
        <v>2.2381686823535484E-2</v>
      </c>
      <c r="L77">
        <f t="shared" si="72"/>
        <v>9.0065861625349044E-3</v>
      </c>
      <c r="M77">
        <f t="shared" si="73"/>
        <v>0.14294350954202148</v>
      </c>
      <c r="O77">
        <f t="shared" si="31"/>
        <v>95000.572724382422</v>
      </c>
      <c r="P77">
        <f t="shared" si="31"/>
        <v>93810.673229455846</v>
      </c>
      <c r="Q77">
        <f t="shared" si="31"/>
        <v>95086.969039596763</v>
      </c>
      <c r="R77">
        <f t="shared" si="31"/>
        <v>96149.307012472869</v>
      </c>
      <c r="S77">
        <f t="shared" si="31"/>
        <v>87686.558995718355</v>
      </c>
      <c r="U77">
        <f t="shared" si="38"/>
        <v>2119175.2908563428</v>
      </c>
      <c r="V77">
        <f t="shared" si="39"/>
        <v>2277553.3007723042</v>
      </c>
      <c r="W77">
        <f t="shared" si="40"/>
        <v>2476684.6608367688</v>
      </c>
      <c r="X77">
        <f t="shared" si="41"/>
        <v>2655686.3875371478</v>
      </c>
      <c r="Y77">
        <f t="shared" si="42"/>
        <v>1493022.1557534805</v>
      </c>
      <c r="AA77">
        <f t="shared" si="43"/>
        <v>159664058532.4115</v>
      </c>
      <c r="AB77">
        <f t="shared" si="44"/>
        <v>174592210027.98846</v>
      </c>
      <c r="AC77">
        <f t="shared" si="45"/>
        <v>197130637426.76385</v>
      </c>
      <c r="AD77">
        <f t="shared" si="46"/>
        <v>217822028085.20908</v>
      </c>
      <c r="AE77">
        <f t="shared" si="47"/>
        <v>97116383877.522308</v>
      </c>
      <c r="AG77">
        <f t="shared" si="48"/>
        <v>26862124.756060932</v>
      </c>
      <c r="AH77">
        <f t="shared" si="49"/>
        <v>30660702.817808487</v>
      </c>
      <c r="AI77">
        <f t="shared" si="50"/>
        <v>35094482.309516616</v>
      </c>
      <c r="AJ77">
        <f t="shared" si="51"/>
        <v>39328224.405414015</v>
      </c>
      <c r="AK77">
        <f t="shared" si="64"/>
        <v>15310062.620202873</v>
      </c>
      <c r="AM77">
        <f t="shared" si="52"/>
        <v>22.306973843247629</v>
      </c>
      <c r="AN77">
        <f t="shared" si="53"/>
        <v>24.278189489180317</v>
      </c>
      <c r="AO77">
        <f t="shared" si="54"/>
        <v>26.046520210412965</v>
      </c>
      <c r="AP77">
        <f t="shared" si="55"/>
        <v>27.620442310547716</v>
      </c>
      <c r="AQ77">
        <f t="shared" si="65"/>
        <v>17.026807447494697</v>
      </c>
      <c r="AS77">
        <f t="shared" si="56"/>
        <v>0.20692536600904687</v>
      </c>
      <c r="AT77">
        <f t="shared" si="57"/>
        <v>0.18284571890461077</v>
      </c>
      <c r="AU77">
        <f t="shared" si="58"/>
        <v>0.16292878526838284</v>
      </c>
      <c r="AV77">
        <f t="shared" si="59"/>
        <v>0.14694142792608833</v>
      </c>
      <c r="AW77">
        <f t="shared" si="66"/>
        <v>0.25818907889820286</v>
      </c>
      <c r="AY77">
        <f t="shared" si="60"/>
        <v>0.36943561088578614</v>
      </c>
      <c r="AZ77">
        <f t="shared" si="61"/>
        <v>0.33013488599809027</v>
      </c>
      <c r="BA77">
        <f t="shared" si="62"/>
        <v>0.2967303372770459</v>
      </c>
      <c r="BB77">
        <f t="shared" si="63"/>
        <v>0.26893531391430603</v>
      </c>
      <c r="BC77">
        <f t="shared" si="67"/>
        <v>0.45221885090640795</v>
      </c>
    </row>
    <row r="78" spans="1:55" x14ac:dyDescent="0.3">
      <c r="A78">
        <f t="shared" si="68"/>
        <v>68</v>
      </c>
      <c r="C78" s="7">
        <v>94331.741060767177</v>
      </c>
      <c r="D78" s="7">
        <v>93353.689809984964</v>
      </c>
      <c r="E78" s="7">
        <v>94765.102731147592</v>
      </c>
      <c r="F78" s="7">
        <v>95923.767520805573</v>
      </c>
      <c r="G78" s="7">
        <v>86492.33054707972</v>
      </c>
      <c r="I78">
        <f t="shared" si="69"/>
        <v>8.1234420840699775E-2</v>
      </c>
      <c r="J78">
        <f t="shared" si="70"/>
        <v>7.8834830075302009E-2</v>
      </c>
      <c r="K78">
        <f t="shared" si="71"/>
        <v>7.2608397540097652E-2</v>
      </c>
      <c r="L78">
        <f t="shared" si="72"/>
        <v>6.6338675597891653E-2</v>
      </c>
      <c r="M78">
        <f t="shared" si="73"/>
        <v>8.9985702521595407E-2</v>
      </c>
      <c r="O78">
        <f t="shared" si="31"/>
        <v>94331.741060767177</v>
      </c>
      <c r="P78">
        <f t="shared" si="31"/>
        <v>93353.689809984964</v>
      </c>
      <c r="Q78">
        <f t="shared" si="31"/>
        <v>94765.102731147592</v>
      </c>
      <c r="R78">
        <f t="shared" si="31"/>
        <v>95923.767520805573</v>
      </c>
      <c r="S78">
        <f t="shared" si="31"/>
        <v>86492.33054707972</v>
      </c>
      <c r="U78">
        <f t="shared" si="38"/>
        <v>2024509.1339637679</v>
      </c>
      <c r="V78">
        <f t="shared" si="39"/>
        <v>2183971.1192525839</v>
      </c>
      <c r="W78">
        <f t="shared" si="40"/>
        <v>2381758.6249513966</v>
      </c>
      <c r="X78">
        <f t="shared" si="41"/>
        <v>2559649.8502705083</v>
      </c>
      <c r="Y78">
        <f t="shared" si="42"/>
        <v>1405932.7109820815</v>
      </c>
      <c r="AA78">
        <f t="shared" si="43"/>
        <v>150702339993.61905</v>
      </c>
      <c r="AB78">
        <f t="shared" si="44"/>
        <v>165834567927.1781</v>
      </c>
      <c r="AC78">
        <f t="shared" si="45"/>
        <v>188119676504.69284</v>
      </c>
      <c r="AD78">
        <f t="shared" si="46"/>
        <v>208599007356.03729</v>
      </c>
      <c r="AE78">
        <f t="shared" si="47"/>
        <v>89531693638.46611</v>
      </c>
      <c r="AG78">
        <f t="shared" si="48"/>
        <v>24790338.279622845</v>
      </c>
      <c r="AH78">
        <f t="shared" si="49"/>
        <v>28429978.689747665</v>
      </c>
      <c r="AI78">
        <f t="shared" si="50"/>
        <v>32665287.488814898</v>
      </c>
      <c r="AJ78">
        <f t="shared" si="51"/>
        <v>36720575.081467822</v>
      </c>
      <c r="AK78">
        <f t="shared" si="64"/>
        <v>13860684.70587248</v>
      </c>
      <c r="AM78">
        <f t="shared" si="52"/>
        <v>21.461589823298265</v>
      </c>
      <c r="AN78">
        <f t="shared" si="53"/>
        <v>23.394588084283626</v>
      </c>
      <c r="AO78">
        <f t="shared" si="54"/>
        <v>25.133288059725334</v>
      </c>
      <c r="AP78">
        <f t="shared" si="55"/>
        <v>26.684208892392888</v>
      </c>
      <c r="AQ78">
        <f t="shared" si="65"/>
        <v>16.254998588768522</v>
      </c>
      <c r="AS78">
        <f t="shared" si="56"/>
        <v>0.21088117291360697</v>
      </c>
      <c r="AT78">
        <f t="shared" si="57"/>
        <v>0.18661401609325956</v>
      </c>
      <c r="AU78">
        <f t="shared" si="58"/>
        <v>0.16653371060909505</v>
      </c>
      <c r="AV78">
        <f t="shared" si="59"/>
        <v>0.15041771154253458</v>
      </c>
      <c r="AW78">
        <f t="shared" si="66"/>
        <v>0.26373413666071921</v>
      </c>
      <c r="AY78">
        <f t="shared" si="60"/>
        <v>0.37565767405780759</v>
      </c>
      <c r="AZ78">
        <f t="shared" si="61"/>
        <v>0.33596054781365026</v>
      </c>
      <c r="BA78">
        <f t="shared" si="62"/>
        <v>0.3022639577512326</v>
      </c>
      <c r="BB78">
        <f t="shared" si="63"/>
        <v>0.27429534340706563</v>
      </c>
      <c r="BC78">
        <f t="shared" si="67"/>
        <v>0.46152651593039268</v>
      </c>
    </row>
    <row r="79" spans="1:55" x14ac:dyDescent="0.3">
      <c r="A79">
        <f t="shared" si="68"/>
        <v>69</v>
      </c>
      <c r="C79" s="7">
        <v>93611.631725253203</v>
      </c>
      <c r="D79" s="7">
        <v>92861.729229365243</v>
      </c>
      <c r="E79" s="7">
        <v>94420.212445117679</v>
      </c>
      <c r="F79" s="7">
        <v>95683.343296350708</v>
      </c>
      <c r="G79" s="7">
        <v>85204.280992611355</v>
      </c>
      <c r="I79">
        <f t="shared" si="69"/>
        <v>6.5658631381951341E-2</v>
      </c>
      <c r="J79">
        <f t="shared" si="70"/>
        <v>5.6283548656734142E-2</v>
      </c>
      <c r="K79">
        <f t="shared" si="71"/>
        <v>4.5929931477030922E-2</v>
      </c>
      <c r="L79">
        <f t="shared" si="72"/>
        <v>3.5445134904814296E-2</v>
      </c>
      <c r="M79">
        <f t="shared" si="73"/>
        <v>0.10567149551340937</v>
      </c>
      <c r="O79">
        <f t="shared" si="31"/>
        <v>93611.631725253203</v>
      </c>
      <c r="P79">
        <f t="shared" si="31"/>
        <v>92861.729229365243</v>
      </c>
      <c r="Q79">
        <f t="shared" si="31"/>
        <v>94420.212445117679</v>
      </c>
      <c r="R79">
        <f t="shared" si="31"/>
        <v>95683.343296350708</v>
      </c>
      <c r="S79">
        <f t="shared" si="31"/>
        <v>85204.280992611355</v>
      </c>
      <c r="U79">
        <f t="shared" si="38"/>
        <v>1930537.4475707577</v>
      </c>
      <c r="V79">
        <f t="shared" si="39"/>
        <v>2090863.4097329089</v>
      </c>
      <c r="W79">
        <f t="shared" si="40"/>
        <v>2287165.9673632639</v>
      </c>
      <c r="X79">
        <f t="shared" si="41"/>
        <v>2463846.29486193</v>
      </c>
      <c r="Y79">
        <f t="shared" si="42"/>
        <v>1320084.4052122359</v>
      </c>
      <c r="AA79">
        <f t="shared" si="43"/>
        <v>141871618936.95154</v>
      </c>
      <c r="AB79">
        <f t="shared" si="44"/>
        <v>157165502186.41016</v>
      </c>
      <c r="AC79">
        <f t="shared" si="45"/>
        <v>179171895722.66467</v>
      </c>
      <c r="AD79">
        <f t="shared" si="46"/>
        <v>199420681310.12881</v>
      </c>
      <c r="AE79">
        <f t="shared" si="47"/>
        <v>82161623778.941986</v>
      </c>
      <c r="AG79">
        <f t="shared" si="48"/>
        <v>22812874.997966878</v>
      </c>
      <c r="AH79">
        <f t="shared" si="49"/>
        <v>26292602.421969973</v>
      </c>
      <c r="AI79">
        <f t="shared" si="50"/>
        <v>30330853.933514737</v>
      </c>
      <c r="AJ79">
        <f t="shared" si="51"/>
        <v>34208847.04425364</v>
      </c>
      <c r="AK79">
        <f t="shared" si="64"/>
        <v>12497783.485238193</v>
      </c>
      <c r="AM79">
        <f t="shared" si="52"/>
        <v>20.622837269163476</v>
      </c>
      <c r="AN79">
        <f t="shared" si="53"/>
        <v>22.515878468820553</v>
      </c>
      <c r="AO79">
        <f t="shared" si="54"/>
        <v>24.223266482191967</v>
      </c>
      <c r="AP79">
        <f t="shared" si="55"/>
        <v>25.750002142284039</v>
      </c>
      <c r="AQ79">
        <f t="shared" si="65"/>
        <v>15.4931699420914</v>
      </c>
      <c r="AS79">
        <f t="shared" si="56"/>
        <v>0.21496778518142112</v>
      </c>
      <c r="AT79">
        <f t="shared" si="57"/>
        <v>0.19054111317960176</v>
      </c>
      <c r="AU79">
        <f t="shared" si="58"/>
        <v>0.17032646848196764</v>
      </c>
      <c r="AV79">
        <f t="shared" si="59"/>
        <v>0.15409762804114246</v>
      </c>
      <c r="AW79">
        <f t="shared" si="66"/>
        <v>0.2695240915119117</v>
      </c>
      <c r="AY79">
        <f t="shared" si="60"/>
        <v>0.38209516004527228</v>
      </c>
      <c r="AZ79">
        <f t="shared" si="61"/>
        <v>0.34203698176948349</v>
      </c>
      <c r="BA79">
        <f t="shared" si="62"/>
        <v>0.30809849539390383</v>
      </c>
      <c r="BB79">
        <f t="shared" si="63"/>
        <v>0.27998968148485209</v>
      </c>
      <c r="BC79">
        <f t="shared" si="67"/>
        <v>0.47131744768343342</v>
      </c>
    </row>
    <row r="80" spans="1:55" x14ac:dyDescent="0.3">
      <c r="A80">
        <f t="shared" si="68"/>
        <v>70</v>
      </c>
      <c r="C80" s="7">
        <v>92848.722593913611</v>
      </c>
      <c r="D80" s="7">
        <v>92344.107083008625</v>
      </c>
      <c r="E80" s="7">
        <v>94060.45695965545</v>
      </c>
      <c r="F80" s="7">
        <v>95434.879961185739</v>
      </c>
      <c r="G80" s="7">
        <v>83795.164953516985</v>
      </c>
      <c r="I80">
        <f t="shared" si="69"/>
        <v>6.5245586584389115E-2</v>
      </c>
      <c r="J80">
        <f t="shared" si="70"/>
        <v>6.0657456640781121E-2</v>
      </c>
      <c r="K80">
        <f t="shared" si="71"/>
        <v>5.2363737186379156E-2</v>
      </c>
      <c r="L80">
        <f t="shared" si="72"/>
        <v>4.42375899363497E-2</v>
      </c>
      <c r="M80">
        <f t="shared" si="73"/>
        <v>0.10407325031888551</v>
      </c>
      <c r="O80">
        <f t="shared" si="31"/>
        <v>92848.722593913611</v>
      </c>
      <c r="P80">
        <f t="shared" si="31"/>
        <v>92344.107083008625</v>
      </c>
      <c r="Q80">
        <f t="shared" si="31"/>
        <v>94060.45695965545</v>
      </c>
      <c r="R80">
        <f t="shared" si="31"/>
        <v>95434.879961185739</v>
      </c>
      <c r="S80">
        <f t="shared" si="31"/>
        <v>83795.164953516985</v>
      </c>
      <c r="U80">
        <f t="shared" si="38"/>
        <v>1837307.2704111743</v>
      </c>
      <c r="V80">
        <f t="shared" si="39"/>
        <v>1998260.4915767221</v>
      </c>
      <c r="W80">
        <f t="shared" si="40"/>
        <v>2192925.6326608774</v>
      </c>
      <c r="X80">
        <f t="shared" si="41"/>
        <v>2368287.1832331615</v>
      </c>
      <c r="Y80">
        <f t="shared" si="42"/>
        <v>1235584.6822391718</v>
      </c>
      <c r="AA80">
        <f t="shared" si="43"/>
        <v>133179704501.21567</v>
      </c>
      <c r="AB80">
        <f t="shared" si="44"/>
        <v>148590179407.64484</v>
      </c>
      <c r="AC80">
        <f t="shared" si="45"/>
        <v>170290644252.51273</v>
      </c>
      <c r="AD80">
        <f t="shared" si="46"/>
        <v>190289132350.34702</v>
      </c>
      <c r="AE80">
        <f t="shared" si="47"/>
        <v>75021255129.083099</v>
      </c>
      <c r="AG80">
        <f t="shared" si="48"/>
        <v>20929016.214736857</v>
      </c>
      <c r="AH80">
        <f t="shared" si="49"/>
        <v>24248083.606494017</v>
      </c>
      <c r="AI80">
        <f t="shared" si="50"/>
        <v>28090838.113126453</v>
      </c>
      <c r="AJ80">
        <f t="shared" si="51"/>
        <v>31792801.010484029</v>
      </c>
      <c r="AK80">
        <f t="shared" si="64"/>
        <v>11220066.36784908</v>
      </c>
      <c r="AM80">
        <f t="shared" si="52"/>
        <v>19.788180376448313</v>
      </c>
      <c r="AN80">
        <f t="shared" si="53"/>
        <v>21.63928543681163</v>
      </c>
      <c r="AO80">
        <f t="shared" si="54"/>
        <v>23.314001478872999</v>
      </c>
      <c r="AP80">
        <f t="shared" si="55"/>
        <v>24.815740159115474</v>
      </c>
      <c r="AQ80">
        <f t="shared" si="65"/>
        <v>14.745298048217672</v>
      </c>
      <c r="AS80">
        <f t="shared" si="56"/>
        <v>0.21930693724925776</v>
      </c>
      <c r="AT80">
        <f t="shared" si="57"/>
        <v>0.19475354983656268</v>
      </c>
      <c r="AU80">
        <f t="shared" si="58"/>
        <v>0.17441878940971056</v>
      </c>
      <c r="AV80">
        <f t="shared" si="59"/>
        <v>0.15807677563347444</v>
      </c>
      <c r="AW80">
        <f t="shared" si="66"/>
        <v>0.27540914273252204</v>
      </c>
      <c r="AY80">
        <f t="shared" si="60"/>
        <v>0.38898204176991541</v>
      </c>
      <c r="AZ80">
        <f t="shared" si="61"/>
        <v>0.34861710197053825</v>
      </c>
      <c r="BA80">
        <f t="shared" si="62"/>
        <v>0.31446678919126064</v>
      </c>
      <c r="BB80">
        <f t="shared" si="63"/>
        <v>0.28622558192687053</v>
      </c>
      <c r="BC80">
        <f t="shared" si="67"/>
        <v>0.48133579082835209</v>
      </c>
    </row>
    <row r="81" spans="1:55" x14ac:dyDescent="0.3">
      <c r="A81">
        <f t="shared" si="68"/>
        <v>71</v>
      </c>
      <c r="C81" s="7">
        <v>92041.236420777263</v>
      </c>
      <c r="D81" s="7">
        <v>91797.276700724804</v>
      </c>
      <c r="E81" s="7">
        <v>93682.844527878202</v>
      </c>
      <c r="F81" s="7">
        <v>95175.86806251308</v>
      </c>
      <c r="G81" s="7">
        <v>82258.756377264042</v>
      </c>
      <c r="I81">
        <f t="shared" si="69"/>
        <v>7.618138708595755E-2</v>
      </c>
      <c r="J81">
        <f t="shared" si="70"/>
        <v>6.9829149721679765E-2</v>
      </c>
      <c r="K81">
        <f t="shared" si="71"/>
        <v>6.2909922658394082E-2</v>
      </c>
      <c r="L81">
        <f t="shared" si="72"/>
        <v>5.6189340198511566E-2</v>
      </c>
      <c r="M81">
        <f t="shared" si="73"/>
        <v>9.9583769204801748E-2</v>
      </c>
      <c r="O81">
        <f t="shared" si="31"/>
        <v>92041.236420777263</v>
      </c>
      <c r="P81">
        <f t="shared" si="31"/>
        <v>91797.276700724804</v>
      </c>
      <c r="Q81">
        <f t="shared" si="31"/>
        <v>93682.844527878202</v>
      </c>
      <c r="R81">
        <f t="shared" si="31"/>
        <v>95175.86806251308</v>
      </c>
      <c r="S81">
        <f t="shared" si="31"/>
        <v>82258.756377264042</v>
      </c>
      <c r="U81">
        <f t="shared" si="38"/>
        <v>1744862.2909038288</v>
      </c>
      <c r="V81">
        <f t="shared" si="39"/>
        <v>1906189.7996848554</v>
      </c>
      <c r="W81">
        <f t="shared" si="40"/>
        <v>2099053.9819171107</v>
      </c>
      <c r="X81">
        <f t="shared" si="41"/>
        <v>2272981.8092213119</v>
      </c>
      <c r="Y81">
        <f t="shared" si="42"/>
        <v>1152557.7215737815</v>
      </c>
      <c r="AA81">
        <f t="shared" si="43"/>
        <v>124633575928.94217</v>
      </c>
      <c r="AB81">
        <f t="shared" si="44"/>
        <v>140113142183.57553</v>
      </c>
      <c r="AC81">
        <f t="shared" si="45"/>
        <v>161478745556.55728</v>
      </c>
      <c r="AD81">
        <f t="shared" si="46"/>
        <v>181206012444.21155</v>
      </c>
      <c r="AE81">
        <f t="shared" si="47"/>
        <v>68127582219.141357</v>
      </c>
      <c r="AG81">
        <f t="shared" si="48"/>
        <v>19137998.724593785</v>
      </c>
      <c r="AH81">
        <f t="shared" si="49"/>
        <v>22295904.030061752</v>
      </c>
      <c r="AI81">
        <f t="shared" si="50"/>
        <v>25944879.773540109</v>
      </c>
      <c r="AJ81">
        <f t="shared" si="51"/>
        <v>29472188.098581679</v>
      </c>
      <c r="AK81">
        <f t="shared" si="64"/>
        <v>10026123.199990625</v>
      </c>
      <c r="AM81">
        <f t="shared" si="52"/>
        <v>18.957397344457512</v>
      </c>
      <c r="AN81">
        <f t="shared" si="53"/>
        <v>20.765210779611337</v>
      </c>
      <c r="AO81">
        <f t="shared" si="54"/>
        <v>22.405959089900104</v>
      </c>
      <c r="AP81">
        <f t="shared" si="55"/>
        <v>23.881913088813437</v>
      </c>
      <c r="AQ81">
        <f t="shared" si="65"/>
        <v>14.01136817930721</v>
      </c>
      <c r="AS81">
        <f t="shared" si="56"/>
        <v>0.22394687024057658</v>
      </c>
      <c r="AT81">
        <f t="shared" si="57"/>
        <v>0.19927583724456288</v>
      </c>
      <c r="AU81">
        <f t="shared" si="58"/>
        <v>0.17883261756582647</v>
      </c>
      <c r="AV81">
        <f t="shared" si="59"/>
        <v>0.16237467983896969</v>
      </c>
      <c r="AW81">
        <f t="shared" si="66"/>
        <v>0.28141499143519899</v>
      </c>
      <c r="AY81">
        <f t="shared" si="60"/>
        <v>0.39641136844850272</v>
      </c>
      <c r="AZ81">
        <f t="shared" si="61"/>
        <v>0.35574641573446708</v>
      </c>
      <c r="BA81">
        <f t="shared" si="62"/>
        <v>0.32140670585687459</v>
      </c>
      <c r="BB81">
        <f t="shared" si="63"/>
        <v>0.29303356267399483</v>
      </c>
      <c r="BC81">
        <f t="shared" si="67"/>
        <v>0.49163901885286093</v>
      </c>
    </row>
    <row r="82" spans="1:55" x14ac:dyDescent="0.3">
      <c r="A82">
        <f t="shared" si="68"/>
        <v>72</v>
      </c>
      <c r="C82" s="7">
        <v>91177.70758282076</v>
      </c>
      <c r="D82" s="7">
        <v>91214.494229895907</v>
      </c>
      <c r="E82" s="7">
        <v>93282.380028762331</v>
      </c>
      <c r="F82" s="7">
        <v>94902.650849036465</v>
      </c>
      <c r="G82" s="7">
        <v>80594.197438662814</v>
      </c>
      <c r="I82">
        <f t="shared" si="69"/>
        <v>6.6496816642814011E-2</v>
      </c>
      <c r="J82">
        <f t="shared" si="70"/>
        <v>6.0196163656782591E-2</v>
      </c>
      <c r="K82">
        <f t="shared" si="71"/>
        <v>5.3372651849259718E-2</v>
      </c>
      <c r="L82">
        <f t="shared" si="72"/>
        <v>4.6588444067091797E-2</v>
      </c>
      <c r="M82">
        <f t="shared" si="73"/>
        <v>8.3815906967175599E-2</v>
      </c>
      <c r="O82">
        <f t="shared" si="31"/>
        <v>91177.70758282076</v>
      </c>
      <c r="P82">
        <f t="shared" si="31"/>
        <v>91214.494229895907</v>
      </c>
      <c r="Q82">
        <f t="shared" si="31"/>
        <v>93282.380028762331</v>
      </c>
      <c r="R82">
        <f t="shared" si="31"/>
        <v>94902.650849036465</v>
      </c>
      <c r="S82">
        <f t="shared" si="31"/>
        <v>80594.197438662814</v>
      </c>
      <c r="U82">
        <f t="shared" si="38"/>
        <v>1653252.8189020299</v>
      </c>
      <c r="V82">
        <f t="shared" si="39"/>
        <v>1814683.914219545</v>
      </c>
      <c r="W82">
        <f t="shared" si="40"/>
        <v>2005571.3696387904</v>
      </c>
      <c r="X82">
        <f t="shared" si="41"/>
        <v>2177942.549765537</v>
      </c>
      <c r="Y82">
        <f t="shared" si="42"/>
        <v>1071131.2446658181</v>
      </c>
      <c r="AA82">
        <f t="shared" si="43"/>
        <v>116241218428.3226</v>
      </c>
      <c r="AB82">
        <f t="shared" si="44"/>
        <v>131739786805.83435</v>
      </c>
      <c r="AC82">
        <f t="shared" si="45"/>
        <v>152739733393.8606</v>
      </c>
      <c r="AD82">
        <f t="shared" si="46"/>
        <v>172173545385.67233</v>
      </c>
      <c r="AE82">
        <f t="shared" si="47"/>
        <v>61497080181.126587</v>
      </c>
      <c r="AG82">
        <f t="shared" si="48"/>
        <v>17439013.130427349</v>
      </c>
      <c r="AH82">
        <f t="shared" si="49"/>
        <v>20435515.738315456</v>
      </c>
      <c r="AI82">
        <f t="shared" si="50"/>
        <v>23892600.469803754</v>
      </c>
      <c r="AJ82">
        <f t="shared" si="51"/>
        <v>27246748.687189378</v>
      </c>
      <c r="AK82">
        <f t="shared" si="64"/>
        <v>8914417.4301157072</v>
      </c>
      <c r="AM82">
        <f t="shared" si="52"/>
        <v>18.132204271535418</v>
      </c>
      <c r="AN82">
        <f t="shared" si="53"/>
        <v>19.89468811443319</v>
      </c>
      <c r="AO82">
        <f t="shared" si="54"/>
        <v>21.500002133526184</v>
      </c>
      <c r="AP82">
        <f t="shared" si="55"/>
        <v>22.949227764249006</v>
      </c>
      <c r="AQ82">
        <f t="shared" si="65"/>
        <v>13.290426342181959</v>
      </c>
      <c r="AS82">
        <f t="shared" si="56"/>
        <v>0.22886180807879886</v>
      </c>
      <c r="AT82">
        <f t="shared" si="57"/>
        <v>0.20411171471073353</v>
      </c>
      <c r="AU82">
        <f t="shared" si="58"/>
        <v>0.18357877144599333</v>
      </c>
      <c r="AV82">
        <f t="shared" si="59"/>
        <v>0.16700641007833672</v>
      </c>
      <c r="AW82">
        <f t="shared" si="66"/>
        <v>0.2876260436705651</v>
      </c>
      <c r="AY82">
        <f t="shared" si="60"/>
        <v>0.40433688117128352</v>
      </c>
      <c r="AZ82">
        <f t="shared" si="61"/>
        <v>0.36342939747933722</v>
      </c>
      <c r="BA82">
        <f t="shared" si="62"/>
        <v>0.32893243410922279</v>
      </c>
      <c r="BB82">
        <f t="shared" si="63"/>
        <v>0.30043346798863269</v>
      </c>
      <c r="BC82">
        <f t="shared" si="67"/>
        <v>0.50238939639550217</v>
      </c>
    </row>
    <row r="83" spans="1:55" x14ac:dyDescent="0.3">
      <c r="A83">
        <f t="shared" si="68"/>
        <v>73</v>
      </c>
      <c r="C83" s="7">
        <v>90263.759006567241</v>
      </c>
      <c r="D83" s="7">
        <v>90599.603866637161</v>
      </c>
      <c r="E83" s="7">
        <v>92861.816062535509</v>
      </c>
      <c r="F83" s="7">
        <v>94617.244978209201</v>
      </c>
      <c r="G83" s="7">
        <v>78822.315150348833</v>
      </c>
      <c r="I83">
        <f t="shared" si="69"/>
        <v>8.3558416350864403E-2</v>
      </c>
      <c r="J83">
        <f t="shared" si="70"/>
        <v>7.7383026022639065E-2</v>
      </c>
      <c r="K83">
        <f t="shared" si="71"/>
        <v>7.1226822098632528E-2</v>
      </c>
      <c r="L83">
        <f t="shared" si="72"/>
        <v>6.521627209516577E-2</v>
      </c>
      <c r="M83">
        <f t="shared" si="73"/>
        <v>0.10796127586287156</v>
      </c>
      <c r="O83">
        <f t="shared" ref="O83:S130" si="74">C83</f>
        <v>90263.759006567241</v>
      </c>
      <c r="P83">
        <f t="shared" si="74"/>
        <v>90599.603866637161</v>
      </c>
      <c r="Q83">
        <f t="shared" si="74"/>
        <v>92861.816062535509</v>
      </c>
      <c r="R83">
        <f t="shared" si="74"/>
        <v>94617.244978209201</v>
      </c>
      <c r="S83">
        <f t="shared" si="74"/>
        <v>78822.315150348833</v>
      </c>
      <c r="U83">
        <f t="shared" si="38"/>
        <v>1562532.0856073359</v>
      </c>
      <c r="V83">
        <f t="shared" si="39"/>
        <v>1723776.8651712784</v>
      </c>
      <c r="W83">
        <f t="shared" si="40"/>
        <v>1912499.2715931414</v>
      </c>
      <c r="X83">
        <f t="shared" si="41"/>
        <v>2083182.6018519143</v>
      </c>
      <c r="Y83">
        <f t="shared" si="42"/>
        <v>991422.98837131215</v>
      </c>
      <c r="AA83">
        <f t="shared" si="43"/>
        <v>108010897370.29559</v>
      </c>
      <c r="AB83">
        <f t="shared" si="44"/>
        <v>123475663731.65718</v>
      </c>
      <c r="AC83">
        <f t="shared" si="45"/>
        <v>144077303219.73758</v>
      </c>
      <c r="AD83">
        <f t="shared" si="46"/>
        <v>163194090869.03723</v>
      </c>
      <c r="AE83">
        <f t="shared" si="47"/>
        <v>55143412429.045654</v>
      </c>
      <c r="AG83">
        <f t="shared" si="48"/>
        <v>15831196.840554019</v>
      </c>
      <c r="AH83">
        <f t="shared" si="49"/>
        <v>18666336.589483649</v>
      </c>
      <c r="AI83">
        <f t="shared" si="50"/>
        <v>21933600.196184974</v>
      </c>
      <c r="AJ83">
        <f t="shared" si="51"/>
        <v>25116209.895203222</v>
      </c>
      <c r="AK83">
        <f t="shared" si="64"/>
        <v>7883287.9704545019</v>
      </c>
      <c r="AM83">
        <f t="shared" si="52"/>
        <v>17.31073581251643</v>
      </c>
      <c r="AN83">
        <f t="shared" si="53"/>
        <v>19.02631790431095</v>
      </c>
      <c r="AO83">
        <f t="shared" si="54"/>
        <v>20.595109515252378</v>
      </c>
      <c r="AP83">
        <f t="shared" si="55"/>
        <v>22.016944187411937</v>
      </c>
      <c r="AQ83">
        <f t="shared" si="65"/>
        <v>12.577948090971857</v>
      </c>
      <c r="AS83">
        <f t="shared" si="56"/>
        <v>0.23418262657000755</v>
      </c>
      <c r="AT83">
        <f t="shared" si="57"/>
        <v>0.20936866477901273</v>
      </c>
      <c r="AU83">
        <f t="shared" si="58"/>
        <v>0.1887454982260629</v>
      </c>
      <c r="AV83">
        <f t="shared" si="59"/>
        <v>0.17204488952641939</v>
      </c>
      <c r="AW83">
        <f t="shared" si="66"/>
        <v>0.29435630329288542</v>
      </c>
      <c r="AY83">
        <f t="shared" si="60"/>
        <v>0.4130073530371563</v>
      </c>
      <c r="AZ83">
        <f t="shared" si="61"/>
        <v>0.37187494238003005</v>
      </c>
      <c r="BA83">
        <f t="shared" si="62"/>
        <v>0.33721831772039829</v>
      </c>
      <c r="BB83">
        <f t="shared" si="63"/>
        <v>0.30857064767595271</v>
      </c>
      <c r="BC83">
        <f t="shared" si="67"/>
        <v>0.51415343925586565</v>
      </c>
    </row>
    <row r="84" spans="1:55" x14ac:dyDescent="0.3">
      <c r="A84">
        <f t="shared" si="68"/>
        <v>74</v>
      </c>
      <c r="C84" s="7">
        <v>89280.551576693237</v>
      </c>
      <c r="D84" s="7">
        <v>89939.899863926461</v>
      </c>
      <c r="E84" s="7">
        <v>92412.315077203893</v>
      </c>
      <c r="F84" s="7">
        <v>94313.552613861</v>
      </c>
      <c r="G84" s="7">
        <v>76894.261623761427</v>
      </c>
      <c r="I84">
        <f t="shared" si="69"/>
        <v>7.6330031745440591E-2</v>
      </c>
      <c r="J84">
        <f t="shared" si="70"/>
        <v>7.0778509431864228E-2</v>
      </c>
      <c r="K84">
        <f t="shared" si="71"/>
        <v>6.5298940460659038E-2</v>
      </c>
      <c r="L84">
        <f t="shared" si="72"/>
        <v>6.0036294690513525E-2</v>
      </c>
      <c r="M84">
        <f t="shared" si="73"/>
        <v>0.15336036984189425</v>
      </c>
      <c r="O84">
        <f t="shared" si="74"/>
        <v>89280.551576693237</v>
      </c>
      <c r="P84">
        <f t="shared" si="74"/>
        <v>89939.899863926461</v>
      </c>
      <c r="Q84">
        <f t="shared" si="74"/>
        <v>92412.315077203893</v>
      </c>
      <c r="R84">
        <f t="shared" si="74"/>
        <v>94313.552613861</v>
      </c>
      <c r="S84">
        <f t="shared" si="74"/>
        <v>76894.261623761427</v>
      </c>
      <c r="U84">
        <f t="shared" si="38"/>
        <v>1472759.9303157057</v>
      </c>
      <c r="V84">
        <f t="shared" si="39"/>
        <v>1633507.1133059966</v>
      </c>
      <c r="W84">
        <f t="shared" si="40"/>
        <v>1819862.2060232717</v>
      </c>
      <c r="X84">
        <f t="shared" si="41"/>
        <v>1988717.2030558793</v>
      </c>
      <c r="Y84">
        <f t="shared" si="42"/>
        <v>913564.69998425699</v>
      </c>
      <c r="AA84">
        <f t="shared" si="43"/>
        <v>99951776946.520172</v>
      </c>
      <c r="AB84">
        <f t="shared" si="44"/>
        <v>115326999362.39003</v>
      </c>
      <c r="AC84">
        <f t="shared" si="45"/>
        <v>135495660464.7466</v>
      </c>
      <c r="AD84">
        <f t="shared" si="46"/>
        <v>154270371613.58893</v>
      </c>
      <c r="AE84">
        <f t="shared" si="47"/>
        <v>49081189575.950363</v>
      </c>
      <c r="AG84">
        <f t="shared" si="48"/>
        <v>14313632.766544988</v>
      </c>
      <c r="AH84">
        <f t="shared" si="49"/>
        <v>16987749.57557857</v>
      </c>
      <c r="AI84">
        <f t="shared" si="50"/>
        <v>20067456.915792212</v>
      </c>
      <c r="AJ84">
        <f t="shared" si="51"/>
        <v>23080285.300446354</v>
      </c>
      <c r="AK84">
        <f t="shared" si="64"/>
        <v>6930954.7974039325</v>
      </c>
      <c r="AM84">
        <f t="shared" si="52"/>
        <v>16.495865049070453</v>
      </c>
      <c r="AN84">
        <f t="shared" si="53"/>
        <v>18.162207382678794</v>
      </c>
      <c r="AO84">
        <f t="shared" si="54"/>
        <v>19.692853755507659</v>
      </c>
      <c r="AP84">
        <f t="shared" si="55"/>
        <v>21.086229369368525</v>
      </c>
      <c r="AQ84">
        <f t="shared" si="65"/>
        <v>11.880791631165783</v>
      </c>
      <c r="AS84">
        <f t="shared" si="56"/>
        <v>0.23984580766241836</v>
      </c>
      <c r="AT84">
        <f t="shared" si="57"/>
        <v>0.2150218599117526</v>
      </c>
      <c r="AU84">
        <f t="shared" si="58"/>
        <v>0.19433030112537619</v>
      </c>
      <c r="AV84">
        <f t="shared" si="59"/>
        <v>0.17750097668905029</v>
      </c>
      <c r="AW84">
        <f t="shared" si="66"/>
        <v>0.30131432515281131</v>
      </c>
      <c r="AY84">
        <f t="shared" si="60"/>
        <v>0.42231024718554183</v>
      </c>
      <c r="AZ84">
        <f t="shared" si="61"/>
        <v>0.38103334501766861</v>
      </c>
      <c r="BA84">
        <f t="shared" si="62"/>
        <v>0.34625063377322063</v>
      </c>
      <c r="BB84">
        <f t="shared" si="63"/>
        <v>0.31745339483662838</v>
      </c>
      <c r="BC84">
        <f t="shared" si="67"/>
        <v>0.52644050450639168</v>
      </c>
    </row>
    <row r="85" spans="1:55" x14ac:dyDescent="0.3">
      <c r="A85">
        <f t="shared" si="68"/>
        <v>75</v>
      </c>
      <c r="C85" s="7">
        <v>88231.371515398816</v>
      </c>
      <c r="D85" s="7">
        <v>89237.154982983833</v>
      </c>
      <c r="E85" s="7">
        <v>91934.883372875018</v>
      </c>
      <c r="F85" s="7">
        <v>93992.136282939333</v>
      </c>
      <c r="G85" s="7">
        <v>74706.096649629078</v>
      </c>
      <c r="I85">
        <f t="shared" si="69"/>
        <v>9.5451808200746432E-2</v>
      </c>
      <c r="J85">
        <f t="shared" si="70"/>
        <v>9.3377440079651541E-2</v>
      </c>
      <c r="K85">
        <f t="shared" si="71"/>
        <v>9.1300680626558106E-2</v>
      </c>
      <c r="L85">
        <f t="shared" si="72"/>
        <v>8.9301119469938073E-2</v>
      </c>
      <c r="M85">
        <f t="shared" si="73"/>
        <v>6.2498972288214993E-2</v>
      </c>
      <c r="O85">
        <f t="shared" si="74"/>
        <v>88231.371515398816</v>
      </c>
      <c r="P85">
        <f t="shared" si="74"/>
        <v>89237.154982983833</v>
      </c>
      <c r="Q85">
        <f t="shared" si="74"/>
        <v>91934.883372875018</v>
      </c>
      <c r="R85">
        <f t="shared" si="74"/>
        <v>93992.136282939333</v>
      </c>
      <c r="S85">
        <f t="shared" si="74"/>
        <v>74706.096649629078</v>
      </c>
      <c r="U85">
        <f t="shared" si="38"/>
        <v>1384003.9687696598</v>
      </c>
      <c r="V85">
        <f t="shared" si="39"/>
        <v>1543918.5858825413</v>
      </c>
      <c r="W85">
        <f t="shared" si="40"/>
        <v>1727688.6067982323</v>
      </c>
      <c r="X85">
        <f t="shared" si="41"/>
        <v>1894564.3586074791</v>
      </c>
      <c r="Y85">
        <f t="shared" si="42"/>
        <v>837764.52084756177</v>
      </c>
      <c r="AA85">
        <f t="shared" si="43"/>
        <v>92074064504.990219</v>
      </c>
      <c r="AB85">
        <f t="shared" si="44"/>
        <v>107300853962.28955</v>
      </c>
      <c r="AC85">
        <f t="shared" si="45"/>
        <v>126999669075.56238</v>
      </c>
      <c r="AD85">
        <f t="shared" si="46"/>
        <v>145405604886.82614</v>
      </c>
      <c r="AE85">
        <f t="shared" si="47"/>
        <v>43335123413.299103</v>
      </c>
      <c r="AG85">
        <f t="shared" si="48"/>
        <v>12885338.24867408</v>
      </c>
      <c r="AH85">
        <f t="shared" si="49"/>
        <v>15399095.288057713</v>
      </c>
      <c r="AI85">
        <f t="shared" si="50"/>
        <v>18293721.295356821</v>
      </c>
      <c r="AJ85">
        <f t="shared" si="51"/>
        <v>21138671.304308917</v>
      </c>
      <c r="AK85">
        <f t="shared" si="64"/>
        <v>6055472.534069201</v>
      </c>
      <c r="AM85">
        <f t="shared" si="52"/>
        <v>15.686075655393307</v>
      </c>
      <c r="AN85">
        <f t="shared" si="53"/>
        <v>17.301297718163955</v>
      </c>
      <c r="AO85">
        <f t="shared" si="54"/>
        <v>18.792525137503784</v>
      </c>
      <c r="AP85">
        <f t="shared" si="55"/>
        <v>20.156626219286863</v>
      </c>
      <c r="AQ85">
        <f t="shared" si="65"/>
        <v>11.214138583316297</v>
      </c>
      <c r="AS85">
        <f t="shared" si="56"/>
        <v>0.24599027150816344</v>
      </c>
      <c r="AT85">
        <f t="shared" si="57"/>
        <v>0.22118722420556791</v>
      </c>
      <c r="AU85">
        <f t="shared" si="58"/>
        <v>0.20042944845356603</v>
      </c>
      <c r="AV85">
        <f t="shared" si="59"/>
        <v>0.18345473640624355</v>
      </c>
      <c r="AW85">
        <f t="shared" si="66"/>
        <v>0.30759207780127618</v>
      </c>
      <c r="AY85">
        <f t="shared" si="60"/>
        <v>0.43250909854787623</v>
      </c>
      <c r="AZ85">
        <f t="shared" si="61"/>
        <v>0.3911277769811099</v>
      </c>
      <c r="BA85">
        <f t="shared" si="62"/>
        <v>0.35621593453947875</v>
      </c>
      <c r="BB85">
        <f t="shared" si="63"/>
        <v>0.32723653503746175</v>
      </c>
      <c r="BC85">
        <f t="shared" si="67"/>
        <v>0.53768998183800321</v>
      </c>
    </row>
    <row r="86" spans="1:55" x14ac:dyDescent="0.3">
      <c r="A86">
        <f t="shared" si="68"/>
        <v>76</v>
      </c>
      <c r="C86" s="7">
        <v>87091.347952031181</v>
      </c>
      <c r="D86" s="7">
        <v>88471.949935449171</v>
      </c>
      <c r="E86" s="7">
        <v>91414.641039984475</v>
      </c>
      <c r="F86" s="7">
        <v>93641.949995411589</v>
      </c>
      <c r="G86" s="7">
        <v>72445.188923109919</v>
      </c>
      <c r="I86">
        <f t="shared" si="69"/>
        <v>9.7780989606688629E-2</v>
      </c>
      <c r="J86">
        <f t="shared" si="70"/>
        <v>9.8692996649179285E-2</v>
      </c>
      <c r="K86">
        <f t="shared" si="71"/>
        <v>9.9519001575673741E-2</v>
      </c>
      <c r="L86">
        <f t="shared" si="72"/>
        <v>0.10042959861459441</v>
      </c>
      <c r="M86">
        <f t="shared" si="73"/>
        <v>0.14351288582890187</v>
      </c>
      <c r="O86">
        <f t="shared" si="74"/>
        <v>87091.347952031181</v>
      </c>
      <c r="P86">
        <f t="shared" si="74"/>
        <v>88471.949935449171</v>
      </c>
      <c r="Q86">
        <f t="shared" si="74"/>
        <v>91414.641039984475</v>
      </c>
      <c r="R86">
        <f t="shared" si="74"/>
        <v>93641.949995411589</v>
      </c>
      <c r="S86">
        <f t="shared" si="74"/>
        <v>72445.188923109919</v>
      </c>
      <c r="U86">
        <f t="shared" si="38"/>
        <v>1296342.6090359448</v>
      </c>
      <c r="V86">
        <f t="shared" si="39"/>
        <v>1455064.0334233248</v>
      </c>
      <c r="W86">
        <f t="shared" si="40"/>
        <v>1636013.8445918027</v>
      </c>
      <c r="X86">
        <f t="shared" si="41"/>
        <v>1800747.3154683036</v>
      </c>
      <c r="Y86">
        <f t="shared" si="42"/>
        <v>764188.87806119223</v>
      </c>
      <c r="AA86">
        <f t="shared" si="43"/>
        <v>84389442210.149338</v>
      </c>
      <c r="AB86">
        <f t="shared" si="44"/>
        <v>99405673674.664825</v>
      </c>
      <c r="AC86">
        <f t="shared" si="45"/>
        <v>118595384495.61653</v>
      </c>
      <c r="AD86">
        <f t="shared" si="46"/>
        <v>136603957084.24524</v>
      </c>
      <c r="AE86">
        <f t="shared" si="47"/>
        <v>37921322226.559334</v>
      </c>
      <c r="AG86">
        <f t="shared" si="48"/>
        <v>11545259.961734891</v>
      </c>
      <c r="AH86">
        <f t="shared" si="49"/>
        <v>13899667.745492075</v>
      </c>
      <c r="AI86">
        <f t="shared" si="50"/>
        <v>16611913.423189543</v>
      </c>
      <c r="AJ86">
        <f t="shared" si="51"/>
        <v>19291044.649461653</v>
      </c>
      <c r="AK86">
        <f t="shared" si="64"/>
        <v>5254684.2435920341</v>
      </c>
      <c r="AM86">
        <f t="shared" si="52"/>
        <v>14.884861005365929</v>
      </c>
      <c r="AN86">
        <f t="shared" si="53"/>
        <v>16.446614260056066</v>
      </c>
      <c r="AO86">
        <f t="shared" si="54"/>
        <v>17.896628220376815</v>
      </c>
      <c r="AP86">
        <f t="shared" si="55"/>
        <v>19.230134737225566</v>
      </c>
      <c r="AQ86">
        <f t="shared" si="65"/>
        <v>10.548511080180466</v>
      </c>
      <c r="AS86">
        <f t="shared" si="56"/>
        <v>0.25253078955969466</v>
      </c>
      <c r="AT86">
        <f t="shared" si="57"/>
        <v>0.22781125424333781</v>
      </c>
      <c r="AU86">
        <f t="shared" si="58"/>
        <v>0.20701484964505623</v>
      </c>
      <c r="AV86">
        <f t="shared" si="59"/>
        <v>0.18989734572169414</v>
      </c>
      <c r="AW86">
        <f t="shared" si="66"/>
        <v>0.3150273836729991</v>
      </c>
      <c r="AY86">
        <f t="shared" si="60"/>
        <v>0.443458538903928</v>
      </c>
      <c r="AZ86">
        <f t="shared" si="61"/>
        <v>0.40205889158114888</v>
      </c>
      <c r="BA86">
        <f t="shared" si="62"/>
        <v>0.36705203504567491</v>
      </c>
      <c r="BB86">
        <f t="shared" si="63"/>
        <v>0.33788739493638281</v>
      </c>
      <c r="BC86">
        <f t="shared" si="67"/>
        <v>0.55110910728881124</v>
      </c>
    </row>
    <row r="87" spans="1:55" x14ac:dyDescent="0.3">
      <c r="A87">
        <f t="shared" si="68"/>
        <v>77</v>
      </c>
      <c r="C87" s="7">
        <v>85851.289577344985</v>
      </c>
      <c r="D87" s="7">
        <v>87634.987724436607</v>
      </c>
      <c r="E87" s="7">
        <v>90843.382305915919</v>
      </c>
      <c r="F87" s="7">
        <v>93256.286519314119</v>
      </c>
      <c r="G87" s="7">
        <v>69920.318755065775</v>
      </c>
      <c r="I87">
        <f t="shared" si="69"/>
        <v>0.10058532956405357</v>
      </c>
      <c r="J87">
        <f t="shared" si="70"/>
        <v>0.10058049715095278</v>
      </c>
      <c r="K87">
        <f t="shared" si="71"/>
        <v>0.10112393911773394</v>
      </c>
      <c r="L87">
        <f t="shared" si="72"/>
        <v>0.10188032425811624</v>
      </c>
      <c r="M87">
        <f t="shared" si="73"/>
        <v>0.1044674870895017</v>
      </c>
      <c r="O87">
        <f t="shared" si="74"/>
        <v>85851.289577344985</v>
      </c>
      <c r="P87">
        <f t="shared" si="74"/>
        <v>87634.987724436607</v>
      </c>
      <c r="Q87">
        <f t="shared" si="74"/>
        <v>90843.382305915919</v>
      </c>
      <c r="R87">
        <f t="shared" si="74"/>
        <v>93256.286519314119</v>
      </c>
      <c r="S87">
        <f t="shared" si="74"/>
        <v>69920.318755065775</v>
      </c>
      <c r="U87">
        <f t="shared" si="38"/>
        <v>1209871.2902712568</v>
      </c>
      <c r="V87">
        <f t="shared" si="39"/>
        <v>1367010.5645933819</v>
      </c>
      <c r="W87">
        <f t="shared" si="40"/>
        <v>1544884.8329188526</v>
      </c>
      <c r="X87">
        <f t="shared" si="41"/>
        <v>1707298.1972109408</v>
      </c>
      <c r="Y87">
        <f t="shared" si="42"/>
        <v>693006.12422210432</v>
      </c>
      <c r="AA87">
        <f t="shared" si="43"/>
        <v>76912025095.847321</v>
      </c>
      <c r="AB87">
        <f t="shared" si="44"/>
        <v>91652201926.200546</v>
      </c>
      <c r="AC87">
        <f t="shared" si="45"/>
        <v>110290860532.41606</v>
      </c>
      <c r="AD87">
        <f t="shared" si="46"/>
        <v>127871206986.47359</v>
      </c>
      <c r="AE87">
        <f t="shared" si="47"/>
        <v>32853806534.996033</v>
      </c>
      <c r="AG87">
        <f t="shared" si="48"/>
        <v>10292256.350279182</v>
      </c>
      <c r="AH87">
        <f t="shared" si="49"/>
        <v>12488700.193334639</v>
      </c>
      <c r="AI87">
        <f t="shared" si="50"/>
        <v>15021511.689328721</v>
      </c>
      <c r="AJ87">
        <f t="shared" si="51"/>
        <v>17537054.031745039</v>
      </c>
      <c r="AK87">
        <f t="shared" si="64"/>
        <v>4526297.1482977225</v>
      </c>
      <c r="AM87">
        <f t="shared" si="52"/>
        <v>14.092639682264316</v>
      </c>
      <c r="AN87">
        <f t="shared" si="53"/>
        <v>15.598913174859696</v>
      </c>
      <c r="AO87">
        <f t="shared" si="54"/>
        <v>17.006025025757395</v>
      </c>
      <c r="AP87">
        <f t="shared" si="55"/>
        <v>18.307593631849642</v>
      </c>
      <c r="AQ87">
        <f t="shared" si="65"/>
        <v>9.9113696356239167</v>
      </c>
      <c r="AS87">
        <f t="shared" si="56"/>
        <v>0.25952866277204423</v>
      </c>
      <c r="AT87">
        <f t="shared" si="57"/>
        <v>0.23494351255781054</v>
      </c>
      <c r="AU87">
        <f t="shared" si="58"/>
        <v>0.21413106768578305</v>
      </c>
      <c r="AV87">
        <f t="shared" si="59"/>
        <v>0.19687107955772654</v>
      </c>
      <c r="AW87">
        <f t="shared" si="66"/>
        <v>0.32197575571443704</v>
      </c>
      <c r="AY87">
        <f t="shared" si="60"/>
        <v>0.45528338462266166</v>
      </c>
      <c r="AZ87">
        <f t="shared" si="61"/>
        <v>0.41392600776777017</v>
      </c>
      <c r="BA87">
        <f t="shared" si="62"/>
        <v>0.37884362908711783</v>
      </c>
      <c r="BB87">
        <f t="shared" si="63"/>
        <v>0.34948144121184138</v>
      </c>
      <c r="BC87">
        <f t="shared" si="67"/>
        <v>0.56387964058854123</v>
      </c>
    </row>
    <row r="88" spans="1:55" x14ac:dyDescent="0.3">
      <c r="A88">
        <f t="shared" si="68"/>
        <v>78</v>
      </c>
      <c r="C88" s="7">
        <v>84500.558487850387</v>
      </c>
      <c r="D88" s="7">
        <v>86718.680102555401</v>
      </c>
      <c r="E88" s="7">
        <v>90215.492741794631</v>
      </c>
      <c r="F88" s="7">
        <v>92831.113009741806</v>
      </c>
      <c r="G88" s="7">
        <v>67220.344715503365</v>
      </c>
      <c r="I88">
        <f t="shared" si="69"/>
        <v>0.11405489243681964</v>
      </c>
      <c r="J88">
        <f t="shared" si="70"/>
        <v>0.12037355447942881</v>
      </c>
      <c r="K88">
        <f t="shared" si="71"/>
        <v>0.12679939000498952</v>
      </c>
      <c r="L88">
        <f t="shared" si="72"/>
        <v>0.13330568593594863</v>
      </c>
      <c r="M88">
        <f t="shared" si="73"/>
        <v>0.11365410000981667</v>
      </c>
      <c r="O88">
        <f t="shared" si="74"/>
        <v>84500.558487850387</v>
      </c>
      <c r="P88">
        <f t="shared" si="74"/>
        <v>86718.680102555401</v>
      </c>
      <c r="Q88">
        <f t="shared" si="74"/>
        <v>90215.492741794631</v>
      </c>
      <c r="R88">
        <f t="shared" si="74"/>
        <v>92831.113009741806</v>
      </c>
      <c r="S88">
        <f t="shared" si="74"/>
        <v>67220.344715503365</v>
      </c>
      <c r="U88">
        <f t="shared" si="38"/>
        <v>1124695.3662386592</v>
      </c>
      <c r="V88">
        <f t="shared" si="39"/>
        <v>1279833.7306798859</v>
      </c>
      <c r="W88">
        <f t="shared" si="40"/>
        <v>1454355.3953949972</v>
      </c>
      <c r="X88">
        <f t="shared" si="41"/>
        <v>1614254.4974464127</v>
      </c>
      <c r="Y88">
        <f t="shared" si="42"/>
        <v>624435.79248681979</v>
      </c>
      <c r="AA88">
        <f t="shared" si="43"/>
        <v>69656935021.500793</v>
      </c>
      <c r="AB88">
        <f t="shared" si="44"/>
        <v>84052331586.714447</v>
      </c>
      <c r="AC88">
        <f t="shared" si="45"/>
        <v>102095248620.25505</v>
      </c>
      <c r="AD88">
        <f t="shared" si="46"/>
        <v>119214061856.22586</v>
      </c>
      <c r="AE88">
        <f t="shared" si="47"/>
        <v>28151308652.391201</v>
      </c>
      <c r="AG88">
        <f t="shared" si="48"/>
        <v>9125085.5829483494</v>
      </c>
      <c r="AH88">
        <f t="shared" si="49"/>
        <v>11165354.404666495</v>
      </c>
      <c r="AI88">
        <f t="shared" si="50"/>
        <v>13521943.899302138</v>
      </c>
      <c r="AJ88">
        <f t="shared" si="51"/>
        <v>15876313.11554216</v>
      </c>
      <c r="AK88">
        <f t="shared" si="64"/>
        <v>3867801.1877798913</v>
      </c>
      <c r="AM88">
        <f t="shared" si="52"/>
        <v>13.309916364639999</v>
      </c>
      <c r="AN88">
        <f t="shared" si="53"/>
        <v>14.758454916130258</v>
      </c>
      <c r="AO88">
        <f t="shared" si="54"/>
        <v>16.120905081763521</v>
      </c>
      <c r="AP88">
        <f t="shared" si="55"/>
        <v>17.389153755778096</v>
      </c>
      <c r="AQ88">
        <f t="shared" si="65"/>
        <v>9.2893869427420981</v>
      </c>
      <c r="AS88">
        <f t="shared" si="56"/>
        <v>0.26705754933721004</v>
      </c>
      <c r="AT88">
        <f t="shared" si="57"/>
        <v>0.24267280194458729</v>
      </c>
      <c r="AU88">
        <f t="shared" si="58"/>
        <v>0.22186695457998573</v>
      </c>
      <c r="AV88">
        <f t="shared" si="59"/>
        <v>0.20446017964955088</v>
      </c>
      <c r="AW88">
        <f t="shared" si="66"/>
        <v>0.32932817119373659</v>
      </c>
      <c r="AY88">
        <f t="shared" si="60"/>
        <v>0.46813329671361253</v>
      </c>
      <c r="AZ88">
        <f t="shared" si="61"/>
        <v>0.42690346922937211</v>
      </c>
      <c r="BA88">
        <f t="shared" si="62"/>
        <v>0.39176214895958128</v>
      </c>
      <c r="BB88">
        <f t="shared" si="63"/>
        <v>0.36217873784716276</v>
      </c>
      <c r="BC88">
        <f t="shared" si="67"/>
        <v>0.57756444001080787</v>
      </c>
    </row>
    <row r="89" spans="1:55" x14ac:dyDescent="0.3">
      <c r="A89">
        <f t="shared" si="68"/>
        <v>79</v>
      </c>
      <c r="C89" s="7">
        <v>83011.882469526245</v>
      </c>
      <c r="D89" s="7">
        <v>85696.652611609214</v>
      </c>
      <c r="E89" s="7">
        <v>89507.977150169841</v>
      </c>
      <c r="F89" s="7">
        <v>92347.682363157859</v>
      </c>
      <c r="G89" s="7">
        <v>64319.034564362635</v>
      </c>
      <c r="I89">
        <f t="shared" si="69"/>
        <v>0.11028728579895565</v>
      </c>
      <c r="J89">
        <f t="shared" si="70"/>
        <v>0.11732943594680945</v>
      </c>
      <c r="K89">
        <f t="shared" si="71"/>
        <v>0.12489737738580899</v>
      </c>
      <c r="L89">
        <f t="shared" si="72"/>
        <v>0.13266708595580551</v>
      </c>
      <c r="M89">
        <f t="shared" si="73"/>
        <v>0.12504761937071562</v>
      </c>
      <c r="O89">
        <f t="shared" si="74"/>
        <v>83011.882469526245</v>
      </c>
      <c r="P89">
        <f t="shared" si="74"/>
        <v>85696.652611609214</v>
      </c>
      <c r="Q89">
        <f t="shared" si="74"/>
        <v>89507.977150169841</v>
      </c>
      <c r="R89">
        <f t="shared" si="74"/>
        <v>92347.682363157859</v>
      </c>
      <c r="S89">
        <f t="shared" si="74"/>
        <v>64319.034564362635</v>
      </c>
      <c r="U89">
        <f t="shared" si="38"/>
        <v>1040939.1457599711</v>
      </c>
      <c r="V89">
        <f t="shared" si="39"/>
        <v>1193626.0643228036</v>
      </c>
      <c r="W89">
        <f t="shared" si="40"/>
        <v>1364493.660449015</v>
      </c>
      <c r="X89">
        <f t="shared" si="41"/>
        <v>1521665.0997599626</v>
      </c>
      <c r="Y89">
        <f t="shared" si="42"/>
        <v>558666.10284688685</v>
      </c>
      <c r="AA89">
        <f t="shared" si="43"/>
        <v>62641645872.935516</v>
      </c>
      <c r="AB89">
        <f t="shared" si="44"/>
        <v>76620482802.964401</v>
      </c>
      <c r="AC89">
        <f t="shared" si="45"/>
        <v>94020075497.893723</v>
      </c>
      <c r="AD89">
        <f t="shared" si="46"/>
        <v>110641245816.85379</v>
      </c>
      <c r="AE89">
        <f t="shared" si="47"/>
        <v>23824955110.341999</v>
      </c>
      <c r="AG89">
        <f t="shared" si="48"/>
        <v>8042392.3832838954</v>
      </c>
      <c r="AH89">
        <f t="shared" si="49"/>
        <v>9928709.6761227287</v>
      </c>
      <c r="AI89">
        <f t="shared" si="50"/>
        <v>12112578.331012767</v>
      </c>
      <c r="AJ89">
        <f t="shared" si="51"/>
        <v>14308393.602826189</v>
      </c>
      <c r="AK89">
        <f t="shared" si="64"/>
        <v>3276492.0159589662</v>
      </c>
      <c r="AM89">
        <f t="shared" si="52"/>
        <v>12.539640287546799</v>
      </c>
      <c r="AN89">
        <f t="shared" si="53"/>
        <v>13.928502782162401</v>
      </c>
      <c r="AO89">
        <f t="shared" si="54"/>
        <v>15.244380488677214</v>
      </c>
      <c r="AP89">
        <f t="shared" si="55"/>
        <v>16.47756674364609</v>
      </c>
      <c r="AQ89">
        <f t="shared" si="65"/>
        <v>8.6858595846590649</v>
      </c>
      <c r="AS89">
        <f t="shared" si="56"/>
        <v>0.27506752313694394</v>
      </c>
      <c r="AT89">
        <f t="shared" si="57"/>
        <v>0.25094668161878053</v>
      </c>
      <c r="AU89">
        <f t="shared" si="58"/>
        <v>0.23018329504018276</v>
      </c>
      <c r="AV89">
        <f t="shared" si="59"/>
        <v>0.2126424852947385</v>
      </c>
      <c r="AW89">
        <f t="shared" si="66"/>
        <v>0.33695920093970555</v>
      </c>
      <c r="AY89">
        <f t="shared" si="60"/>
        <v>0.48194091524629323</v>
      </c>
      <c r="AZ89">
        <f t="shared" si="61"/>
        <v>0.440909038868327</v>
      </c>
      <c r="BA89">
        <f t="shared" si="62"/>
        <v>0.40573736675093697</v>
      </c>
      <c r="BB89">
        <f t="shared" si="63"/>
        <v>0.37593002297605649</v>
      </c>
      <c r="BC89">
        <f t="shared" si="67"/>
        <v>0.59197629109038374</v>
      </c>
    </row>
    <row r="90" spans="1:55" x14ac:dyDescent="0.3">
      <c r="A90">
        <f t="shared" si="68"/>
        <v>80</v>
      </c>
      <c r="C90" s="7">
        <v>81380.599078770145</v>
      </c>
      <c r="D90" s="7">
        <v>84561.773794925539</v>
      </c>
      <c r="E90" s="7">
        <v>88713.04191401937</v>
      </c>
      <c r="F90" s="7">
        <v>91798.745361401045</v>
      </c>
      <c r="G90" s="7">
        <v>61182.325212306736</v>
      </c>
      <c r="I90">
        <f t="shared" si="69"/>
        <v>0.1451312956575436</v>
      </c>
      <c r="J90">
        <f t="shared" si="70"/>
        <v>0.15736621772237591</v>
      </c>
      <c r="K90">
        <f t="shared" si="71"/>
        <v>0.16972809889757254</v>
      </c>
      <c r="L90">
        <f t="shared" si="72"/>
        <v>0.18214708045281086</v>
      </c>
      <c r="M90">
        <f t="shared" si="73"/>
        <v>0.12341173460773829</v>
      </c>
      <c r="O90">
        <f t="shared" si="74"/>
        <v>81380.599078770145</v>
      </c>
      <c r="P90">
        <f t="shared" si="74"/>
        <v>84561.773794925539</v>
      </c>
      <c r="Q90">
        <f t="shared" si="74"/>
        <v>88713.04191401937</v>
      </c>
      <c r="R90">
        <f t="shared" si="74"/>
        <v>91798.745361401045</v>
      </c>
      <c r="S90">
        <f t="shared" si="74"/>
        <v>61182.325212306736</v>
      </c>
      <c r="U90">
        <f t="shared" si="38"/>
        <v>958742.90498582297</v>
      </c>
      <c r="V90">
        <f t="shared" si="39"/>
        <v>1108496.8511195364</v>
      </c>
      <c r="W90">
        <f t="shared" si="40"/>
        <v>1275383.1509169205</v>
      </c>
      <c r="X90">
        <f t="shared" si="41"/>
        <v>1429591.885897683</v>
      </c>
      <c r="Y90">
        <f t="shared" si="42"/>
        <v>495915.42295855208</v>
      </c>
      <c r="AA90">
        <f t="shared" si="43"/>
        <v>55885202118.408691</v>
      </c>
      <c r="AB90">
        <f t="shared" si="44"/>
        <v>69373392533.196335</v>
      </c>
      <c r="AC90">
        <f t="shared" si="45"/>
        <v>86079339928.65506</v>
      </c>
      <c r="AD90">
        <f t="shared" si="46"/>
        <v>102163743994.93875</v>
      </c>
      <c r="AE90">
        <f t="shared" si="47"/>
        <v>19886487371.763809</v>
      </c>
      <c r="AG90">
        <f t="shared" si="48"/>
        <v>7042687.2981935618</v>
      </c>
      <c r="AH90">
        <f t="shared" si="49"/>
        <v>8777742.7916362826</v>
      </c>
      <c r="AI90">
        <f t="shared" si="50"/>
        <v>10792706.169932811</v>
      </c>
      <c r="AJ90">
        <f t="shared" si="51"/>
        <v>12832810.854747513</v>
      </c>
      <c r="AK90">
        <f t="shared" si="64"/>
        <v>2749462.6455022516</v>
      </c>
      <c r="AM90">
        <f t="shared" si="52"/>
        <v>11.7809762503448</v>
      </c>
      <c r="AN90">
        <f t="shared" si="53"/>
        <v>13.108722787766972</v>
      </c>
      <c r="AO90">
        <f t="shared" si="54"/>
        <v>14.376501170515843</v>
      </c>
      <c r="AP90">
        <f t="shared" si="55"/>
        <v>15.573109199581596</v>
      </c>
      <c r="AQ90">
        <f t="shared" si="65"/>
        <v>8.1055340940000669</v>
      </c>
      <c r="AS90">
        <f t="shared" si="56"/>
        <v>0.28373491702934195</v>
      </c>
      <c r="AT90">
        <f t="shared" si="57"/>
        <v>0.25991025743453644</v>
      </c>
      <c r="AU90">
        <f t="shared" si="58"/>
        <v>0.23919951343498236</v>
      </c>
      <c r="AV90">
        <f t="shared" si="59"/>
        <v>0.22151906710135194</v>
      </c>
      <c r="AW90">
        <f t="shared" si="66"/>
        <v>0.34457276218958699</v>
      </c>
      <c r="AY90">
        <f t="shared" si="60"/>
        <v>0.49704439767257991</v>
      </c>
      <c r="AZ90">
        <f t="shared" si="61"/>
        <v>0.45622588478359033</v>
      </c>
      <c r="BA90">
        <f t="shared" si="62"/>
        <v>0.4210035124867737</v>
      </c>
      <c r="BB90">
        <f t="shared" si="63"/>
        <v>0.39093177535123785</v>
      </c>
      <c r="BC90">
        <f t="shared" si="67"/>
        <v>0.60663644835578512</v>
      </c>
    </row>
    <row r="91" spans="1:55" x14ac:dyDescent="0.3">
      <c r="A91">
        <f t="shared" si="68"/>
        <v>81</v>
      </c>
      <c r="C91" s="7">
        <v>79534.440429171198</v>
      </c>
      <c r="D91" s="7">
        <v>83252.55923487636</v>
      </c>
      <c r="E91" s="7">
        <v>87780.192164720982</v>
      </c>
      <c r="F91" s="7">
        <v>91144.440192422568</v>
      </c>
      <c r="G91" s="7">
        <v>57817.640306217836</v>
      </c>
      <c r="I91">
        <f t="shared" si="69"/>
        <v>0.13525951836364575</v>
      </c>
      <c r="J91">
        <f t="shared" si="70"/>
        <v>0.14826859633974457</v>
      </c>
      <c r="K91">
        <f t="shared" si="71"/>
        <v>0.16170307780163837</v>
      </c>
      <c r="L91">
        <f t="shared" si="72"/>
        <v>0.17530284185888018</v>
      </c>
      <c r="M91">
        <f t="shared" si="73"/>
        <v>0.1145878645259242</v>
      </c>
      <c r="O91">
        <f t="shared" si="74"/>
        <v>79534.440429171198</v>
      </c>
      <c r="P91">
        <f t="shared" si="74"/>
        <v>83252.55923487636</v>
      </c>
      <c r="Q91">
        <f t="shared" si="74"/>
        <v>87780.192164720982</v>
      </c>
      <c r="R91">
        <f t="shared" si="74"/>
        <v>91144.440192422568</v>
      </c>
      <c r="S91">
        <f t="shared" si="74"/>
        <v>57817.640306217836</v>
      </c>
      <c r="U91">
        <f t="shared" si="38"/>
        <v>878285.3852318523</v>
      </c>
      <c r="V91">
        <f t="shared" si="39"/>
        <v>1024589.6846046356</v>
      </c>
      <c r="W91">
        <f t="shared" si="40"/>
        <v>1187136.5338775504</v>
      </c>
      <c r="X91">
        <f t="shared" si="41"/>
        <v>1338120.2931207712</v>
      </c>
      <c r="Y91">
        <f t="shared" si="42"/>
        <v>436415.44019928982</v>
      </c>
      <c r="AA91">
        <f t="shared" si="43"/>
        <v>49411505608.301483</v>
      </c>
      <c r="AB91">
        <f t="shared" si="44"/>
        <v>62332837103.739998</v>
      </c>
      <c r="AC91">
        <f t="shared" si="45"/>
        <v>78291801992.373901</v>
      </c>
      <c r="AD91">
        <f t="shared" si="46"/>
        <v>93796656033.522385</v>
      </c>
      <c r="AE91">
        <f t="shared" si="47"/>
        <v>16345295998.034863</v>
      </c>
      <c r="AG91">
        <f t="shared" si="48"/>
        <v>6124326.9996388573</v>
      </c>
      <c r="AH91">
        <f t="shared" si="49"/>
        <v>7711308.6249875324</v>
      </c>
      <c r="AI91">
        <f t="shared" si="50"/>
        <v>9561524.0650146846</v>
      </c>
      <c r="AJ91">
        <f t="shared" si="51"/>
        <v>11449009.290669033</v>
      </c>
      <c r="AK91">
        <f t="shared" si="64"/>
        <v>2283577.6043321714</v>
      </c>
      <c r="AM91">
        <f t="shared" si="52"/>
        <v>11.042831011227177</v>
      </c>
      <c r="AN91">
        <f t="shared" si="53"/>
        <v>12.307005262312849</v>
      </c>
      <c r="AO91">
        <f t="shared" si="54"/>
        <v>13.523968273501486</v>
      </c>
      <c r="AP91">
        <f t="shared" si="55"/>
        <v>14.681315616133631</v>
      </c>
      <c r="AQ91">
        <f t="shared" si="65"/>
        <v>7.548136483742951</v>
      </c>
      <c r="AS91">
        <f t="shared" si="56"/>
        <v>0.29264536865273294</v>
      </c>
      <c r="AT91">
        <f t="shared" si="57"/>
        <v>0.26924916142602151</v>
      </c>
      <c r="AU91">
        <f t="shared" si="58"/>
        <v>0.24869013507236992</v>
      </c>
      <c r="AV91">
        <f t="shared" si="59"/>
        <v>0.23093682479919297</v>
      </c>
      <c r="AW91">
        <f t="shared" si="66"/>
        <v>0.35221286405761032</v>
      </c>
      <c r="AY91">
        <f t="shared" si="60"/>
        <v>0.5127471678464024</v>
      </c>
      <c r="AZ91">
        <f t="shared" si="61"/>
        <v>0.47231599117618628</v>
      </c>
      <c r="BA91">
        <f t="shared" si="62"/>
        <v>0.43716265737426119</v>
      </c>
      <c r="BB91">
        <f t="shared" si="63"/>
        <v>0.40690099269295532</v>
      </c>
      <c r="BC91">
        <f t="shared" si="67"/>
        <v>0.62165541043250971</v>
      </c>
    </row>
    <row r="92" spans="1:55" x14ac:dyDescent="0.3">
      <c r="A92">
        <f t="shared" si="68"/>
        <v>82</v>
      </c>
      <c r="C92" s="7">
        <v>77472.257881271536</v>
      </c>
      <c r="D92" s="7">
        <v>81759.467247385895</v>
      </c>
      <c r="E92" s="7">
        <v>86696.151931967179</v>
      </c>
      <c r="F92" s="7">
        <v>90370.852389932261</v>
      </c>
      <c r="G92" s="7">
        <v>54264.050435258549</v>
      </c>
      <c r="I92">
        <f t="shared" si="69"/>
        <v>0.14326243390092966</v>
      </c>
      <c r="J92">
        <f t="shared" si="70"/>
        <v>0.15458542835234412</v>
      </c>
      <c r="K92">
        <f t="shared" si="71"/>
        <v>0.16596047029283248</v>
      </c>
      <c r="L92">
        <f t="shared" si="72"/>
        <v>0.17735372190846538</v>
      </c>
      <c r="M92">
        <f t="shared" si="73"/>
        <v>0.13048370569675438</v>
      </c>
      <c r="O92">
        <f t="shared" si="74"/>
        <v>77472.257881271536</v>
      </c>
      <c r="P92">
        <f t="shared" si="74"/>
        <v>81759.467247385895</v>
      </c>
      <c r="Q92">
        <f t="shared" si="74"/>
        <v>86696.151931967179</v>
      </c>
      <c r="R92">
        <f t="shared" si="74"/>
        <v>90370.852389932261</v>
      </c>
      <c r="S92">
        <f t="shared" si="74"/>
        <v>54264.050435258549</v>
      </c>
      <c r="U92">
        <f t="shared" si="38"/>
        <v>799782.03607663081</v>
      </c>
      <c r="V92">
        <f t="shared" si="39"/>
        <v>942083.67136350437</v>
      </c>
      <c r="W92">
        <f t="shared" si="40"/>
        <v>1099898.3618292063</v>
      </c>
      <c r="X92">
        <f t="shared" si="41"/>
        <v>1247362.6468295939</v>
      </c>
      <c r="Y92">
        <f t="shared" si="42"/>
        <v>380374.59482855164</v>
      </c>
      <c r="AA92">
        <f t="shared" si="43"/>
        <v>43248375396.64315</v>
      </c>
      <c r="AB92">
        <f t="shared" si="44"/>
        <v>55525409105.820702</v>
      </c>
      <c r="AC92">
        <f t="shared" si="45"/>
        <v>70681205401.435226</v>
      </c>
      <c r="AD92">
        <f t="shared" si="46"/>
        <v>85559655803.367233</v>
      </c>
      <c r="AE92">
        <f t="shared" si="47"/>
        <v>13203667314.753626</v>
      </c>
      <c r="AG92">
        <f t="shared" si="48"/>
        <v>5285465.1375302747</v>
      </c>
      <c r="AH92">
        <f t="shared" si="49"/>
        <v>6728096.3713357532</v>
      </c>
      <c r="AI92">
        <f t="shared" si="50"/>
        <v>8418096.9538473692</v>
      </c>
      <c r="AJ92">
        <f t="shared" si="51"/>
        <v>10156332.286344059</v>
      </c>
      <c r="AK92">
        <f t="shared" si="64"/>
        <v>1875478.7193074971</v>
      </c>
      <c r="AM92">
        <f t="shared" si="52"/>
        <v>10.323463623615046</v>
      </c>
      <c r="AN92">
        <f t="shared" si="53"/>
        <v>11.522624878571794</v>
      </c>
      <c r="AO92">
        <f t="shared" si="54"/>
        <v>12.686818703237559</v>
      </c>
      <c r="AP92">
        <f t="shared" si="55"/>
        <v>13.802709765837685</v>
      </c>
      <c r="AQ92">
        <f t="shared" si="65"/>
        <v>7.0096977976675303</v>
      </c>
      <c r="AS92">
        <f t="shared" si="56"/>
        <v>0.30200559814922945</v>
      </c>
      <c r="AT92">
        <f t="shared" si="57"/>
        <v>0.279117906826026</v>
      </c>
      <c r="AU92">
        <f t="shared" si="58"/>
        <v>0.25877241947840923</v>
      </c>
      <c r="AV92">
        <f t="shared" si="59"/>
        <v>0.2409892699469357</v>
      </c>
      <c r="AW92">
        <f t="shared" si="66"/>
        <v>0.3603080836610888</v>
      </c>
      <c r="AY92">
        <f t="shared" si="60"/>
        <v>0.52944587001367627</v>
      </c>
      <c r="AZ92">
        <f t="shared" si="61"/>
        <v>0.48948874750841781</v>
      </c>
      <c r="BA92">
        <f t="shared" si="62"/>
        <v>0.45445726211003334</v>
      </c>
      <c r="BB92">
        <f t="shared" si="63"/>
        <v>0.42403283191754521</v>
      </c>
      <c r="BC92">
        <f t="shared" si="67"/>
        <v>0.63780615571788524</v>
      </c>
    </row>
    <row r="93" spans="1:55" x14ac:dyDescent="0.3">
      <c r="A93">
        <f t="shared" si="68"/>
        <v>83</v>
      </c>
      <c r="C93" s="7">
        <v>75158.799781307869</v>
      </c>
      <c r="D93" s="7">
        <v>80050.602009896189</v>
      </c>
      <c r="E93" s="7">
        <v>85433.631581126916</v>
      </c>
      <c r="F93" s="7">
        <v>89455.743153133168</v>
      </c>
      <c r="G93" s="7">
        <v>50480.58833231304</v>
      </c>
      <c r="I93">
        <f t="shared" si="69"/>
        <v>0.14567251507760692</v>
      </c>
      <c r="J93">
        <f t="shared" si="70"/>
        <v>0.16035245481081192</v>
      </c>
      <c r="K93">
        <f t="shared" si="71"/>
        <v>0.17522733082220293</v>
      </c>
      <c r="L93">
        <f t="shared" si="72"/>
        <v>0.19017477127312266</v>
      </c>
      <c r="M93">
        <f t="shared" si="73"/>
        <v>0.12197610313830616</v>
      </c>
      <c r="O93">
        <f t="shared" si="74"/>
        <v>75158.799781307869</v>
      </c>
      <c r="P93">
        <f t="shared" si="74"/>
        <v>80050.602009896189</v>
      </c>
      <c r="Q93">
        <f t="shared" si="74"/>
        <v>85433.631581126916</v>
      </c>
      <c r="R93">
        <f t="shared" si="74"/>
        <v>89455.743153133168</v>
      </c>
      <c r="S93">
        <f t="shared" si="74"/>
        <v>50480.58833231304</v>
      </c>
      <c r="U93">
        <f t="shared" si="38"/>
        <v>723466.50724534108</v>
      </c>
      <c r="V93">
        <f t="shared" si="39"/>
        <v>861178.63673486328</v>
      </c>
      <c r="W93">
        <f t="shared" si="40"/>
        <v>1013833.4700726593</v>
      </c>
      <c r="X93">
        <f t="shared" si="41"/>
        <v>1157449.3490580614</v>
      </c>
      <c r="Y93">
        <f t="shared" si="42"/>
        <v>328002.27544476587</v>
      </c>
      <c r="AA93">
        <f t="shared" si="43"/>
        <v>37423869448.478714</v>
      </c>
      <c r="AB93">
        <f t="shared" si="44"/>
        <v>48979541125.8591</v>
      </c>
      <c r="AC93">
        <f t="shared" si="45"/>
        <v>63273906978.566048</v>
      </c>
      <c r="AD93">
        <f t="shared" si="46"/>
        <v>77475184901.805313</v>
      </c>
      <c r="AE93">
        <f t="shared" si="47"/>
        <v>10459614594.992659</v>
      </c>
      <c r="AG93">
        <f t="shared" si="48"/>
        <v>4524033.6540442854</v>
      </c>
      <c r="AH93">
        <f t="shared" si="49"/>
        <v>5826607.6227230271</v>
      </c>
      <c r="AI93">
        <f t="shared" si="50"/>
        <v>7361336.2479256727</v>
      </c>
      <c r="AJ93">
        <f t="shared" si="51"/>
        <v>8954002.5475032963</v>
      </c>
      <c r="AK93">
        <f t="shared" si="64"/>
        <v>1521605.5726794172</v>
      </c>
      <c r="AM93">
        <f t="shared" si="52"/>
        <v>9.6258390148650097</v>
      </c>
      <c r="AN93">
        <f t="shared" si="53"/>
        <v>10.757928299257522</v>
      </c>
      <c r="AO93">
        <f t="shared" si="54"/>
        <v>11.866912962841024</v>
      </c>
      <c r="AP93">
        <f t="shared" si="55"/>
        <v>12.938793064149085</v>
      </c>
      <c r="AQ93">
        <f t="shared" si="65"/>
        <v>6.4975921692023721</v>
      </c>
      <c r="AS93">
        <f t="shared" si="56"/>
        <v>0.31174333946578414</v>
      </c>
      <c r="AT93">
        <f t="shared" si="57"/>
        <v>0.28951181219383992</v>
      </c>
      <c r="AU93">
        <f t="shared" si="58"/>
        <v>0.26948496378142683</v>
      </c>
      <c r="AV93">
        <f t="shared" si="59"/>
        <v>0.25174022603951163</v>
      </c>
      <c r="AW93">
        <f t="shared" si="66"/>
        <v>0.3682948492252468</v>
      </c>
      <c r="AY93">
        <f t="shared" si="60"/>
        <v>0.54705408075668627</v>
      </c>
      <c r="AZ93">
        <f t="shared" si="61"/>
        <v>0.50777512701556049</v>
      </c>
      <c r="BA93">
        <f t="shared" si="62"/>
        <v>0.47299111645643943</v>
      </c>
      <c r="BB93">
        <f t="shared" si="63"/>
        <v>0.44247084152362431</v>
      </c>
      <c r="BC93">
        <f t="shared" si="67"/>
        <v>0.65415319031857633</v>
      </c>
    </row>
    <row r="94" spans="1:55" x14ac:dyDescent="0.3">
      <c r="A94">
        <f t="shared" si="68"/>
        <v>84</v>
      </c>
      <c r="C94" s="7">
        <v>72568.599788211723</v>
      </c>
      <c r="D94" s="7">
        <v>78090.043266440771</v>
      </c>
      <c r="E94" s="7">
        <v>83953.299136976682</v>
      </c>
      <c r="F94" s="7">
        <v>88361.326771537977</v>
      </c>
      <c r="G94" s="7">
        <v>46522.683708782162</v>
      </c>
      <c r="I94">
        <f t="shared" si="69"/>
        <v>0.13907254679521275</v>
      </c>
      <c r="J94">
        <f t="shared" si="70"/>
        <v>0.15229258989379743</v>
      </c>
      <c r="K94">
        <f t="shared" si="71"/>
        <v>0.16570844376004645</v>
      </c>
      <c r="L94">
        <f t="shared" si="72"/>
        <v>0.17919163306375671</v>
      </c>
      <c r="M94">
        <f t="shared" si="73"/>
        <v>0.12867436517282149</v>
      </c>
      <c r="O94">
        <f t="shared" si="74"/>
        <v>72568.599788211723</v>
      </c>
      <c r="P94">
        <f t="shared" si="74"/>
        <v>78090.043266440771</v>
      </c>
      <c r="Q94">
        <f t="shared" si="74"/>
        <v>83953.299136976682</v>
      </c>
      <c r="R94">
        <f t="shared" si="74"/>
        <v>88361.326771537977</v>
      </c>
      <c r="S94">
        <f t="shared" si="74"/>
        <v>46522.683708782162</v>
      </c>
      <c r="U94">
        <f t="shared" si="38"/>
        <v>649602.8074605813</v>
      </c>
      <c r="V94">
        <f t="shared" si="39"/>
        <v>782108.31409669481</v>
      </c>
      <c r="W94">
        <f t="shared" si="40"/>
        <v>929140.00471360749</v>
      </c>
      <c r="X94">
        <f t="shared" si="41"/>
        <v>1068540.814095726</v>
      </c>
      <c r="Y94">
        <f t="shared" si="42"/>
        <v>279500.63942421827</v>
      </c>
      <c r="AA94">
        <f t="shared" si="43"/>
        <v>31967464207.918571</v>
      </c>
      <c r="AB94">
        <f t="shared" si="44"/>
        <v>42727104887.872833</v>
      </c>
      <c r="AC94">
        <f t="shared" si="45"/>
        <v>56100741288.695709</v>
      </c>
      <c r="AD94">
        <f t="shared" si="46"/>
        <v>69570357500.388443</v>
      </c>
      <c r="AE94">
        <f t="shared" si="47"/>
        <v>8105900480.9055643</v>
      </c>
      <c r="AG94">
        <f t="shared" si="48"/>
        <v>3837714.8466907484</v>
      </c>
      <c r="AH94">
        <f t="shared" si="49"/>
        <v>5005127.5272025364</v>
      </c>
      <c r="AI94">
        <f t="shared" si="50"/>
        <v>6389972.8715695525</v>
      </c>
      <c r="AJ94">
        <f t="shared" si="51"/>
        <v>7841098.6672915351</v>
      </c>
      <c r="AK94">
        <f t="shared" si="64"/>
        <v>1218183.9406302194</v>
      </c>
      <c r="AM94">
        <f t="shared" si="52"/>
        <v>8.951568713691854</v>
      </c>
      <c r="AN94">
        <f t="shared" si="53"/>
        <v>10.015467803342942</v>
      </c>
      <c r="AO94">
        <f t="shared" si="54"/>
        <v>11.067343562015823</v>
      </c>
      <c r="AP94">
        <f t="shared" si="55"/>
        <v>12.092856152539271</v>
      </c>
      <c r="AQ94">
        <f t="shared" si="65"/>
        <v>6.0078356866471241</v>
      </c>
      <c r="AS94">
        <f t="shared" si="56"/>
        <v>0.32187219651469823</v>
      </c>
      <c r="AT94">
        <f t="shared" si="57"/>
        <v>0.30041433689601416</v>
      </c>
      <c r="AU94">
        <f t="shared" si="58"/>
        <v>0.28080000923684245</v>
      </c>
      <c r="AV94">
        <f t="shared" si="59"/>
        <v>0.26316390615261498</v>
      </c>
      <c r="AW94">
        <f t="shared" si="66"/>
        <v>0.37661879780052576</v>
      </c>
      <c r="AY94">
        <f t="shared" si="60"/>
        <v>0.5656363251313492</v>
      </c>
      <c r="AZ94">
        <f t="shared" si="61"/>
        <v>0.52719048851778372</v>
      </c>
      <c r="BA94">
        <f t="shared" si="62"/>
        <v>0.49275673320581631</v>
      </c>
      <c r="BB94">
        <f t="shared" si="63"/>
        <v>0.4622030960586912</v>
      </c>
      <c r="BC94">
        <f t="shared" si="67"/>
        <v>0.67150215436898009</v>
      </c>
    </row>
    <row r="95" spans="1:55" x14ac:dyDescent="0.3">
      <c r="A95">
        <f t="shared" si="68"/>
        <v>85</v>
      </c>
      <c r="C95" s="7">
        <v>69701.970817924113</v>
      </c>
      <c r="D95" s="7">
        <v>75867.404097749371</v>
      </c>
      <c r="E95" s="7">
        <v>82239.134527172166</v>
      </c>
      <c r="F95" s="7">
        <v>87069.705678908518</v>
      </c>
      <c r="G95" s="7">
        <v>42397.065929627432</v>
      </c>
      <c r="I95">
        <f t="shared" si="69"/>
        <v>0.16342000517557906</v>
      </c>
      <c r="J95">
        <f t="shared" si="70"/>
        <v>0.1842651913523437</v>
      </c>
      <c r="K95">
        <f t="shared" si="71"/>
        <v>0.20522582172045029</v>
      </c>
      <c r="L95">
        <f t="shared" si="72"/>
        <v>0.2262226012142701</v>
      </c>
      <c r="M95">
        <f t="shared" si="73"/>
        <v>0.1245817885309614</v>
      </c>
      <c r="O95">
        <f t="shared" si="74"/>
        <v>69701.970817924113</v>
      </c>
      <c r="P95">
        <f t="shared" si="74"/>
        <v>75867.404097749371</v>
      </c>
      <c r="Q95">
        <f t="shared" si="74"/>
        <v>82239.134527172166</v>
      </c>
      <c r="R95">
        <f t="shared" si="74"/>
        <v>87069.705678908518</v>
      </c>
      <c r="S95">
        <f t="shared" si="74"/>
        <v>42397.065929627432</v>
      </c>
      <c r="U95">
        <f t="shared" si="38"/>
        <v>578467.52215751342</v>
      </c>
      <c r="V95">
        <f t="shared" si="39"/>
        <v>705129.59041459975</v>
      </c>
      <c r="W95">
        <f t="shared" si="40"/>
        <v>846043.78788153303</v>
      </c>
      <c r="X95">
        <f t="shared" si="41"/>
        <v>980825.29787050269</v>
      </c>
      <c r="Y95">
        <f t="shared" si="42"/>
        <v>235040.76460501351</v>
      </c>
      <c r="AA95">
        <f t="shared" si="43"/>
        <v>26906550595.96526</v>
      </c>
      <c r="AB95">
        <f t="shared" si="44"/>
        <v>36800969311.075638</v>
      </c>
      <c r="AC95">
        <f t="shared" si="45"/>
        <v>49195515173.533455</v>
      </c>
      <c r="AD95">
        <f t="shared" si="46"/>
        <v>61876206689.977135</v>
      </c>
      <c r="AE95">
        <f t="shared" si="47"/>
        <v>6127801618.4612303</v>
      </c>
      <c r="AG95">
        <f t="shared" si="48"/>
        <v>3223918.5676292246</v>
      </c>
      <c r="AH95">
        <f t="shared" si="49"/>
        <v>4261693.7948776139</v>
      </c>
      <c r="AI95">
        <f t="shared" si="50"/>
        <v>5502523.8223227998</v>
      </c>
      <c r="AJ95">
        <f t="shared" si="51"/>
        <v>6816523.2463994734</v>
      </c>
      <c r="AK95">
        <f t="shared" si="64"/>
        <v>961257.04009719985</v>
      </c>
      <c r="AM95">
        <f t="shared" si="52"/>
        <v>8.2991558971637911</v>
      </c>
      <c r="AN95">
        <f t="shared" si="53"/>
        <v>9.2942364220883835</v>
      </c>
      <c r="AO95">
        <f t="shared" si="54"/>
        <v>10.287605684882257</v>
      </c>
      <c r="AP95">
        <f t="shared" si="55"/>
        <v>11.264828452361412</v>
      </c>
      <c r="AQ95">
        <f t="shared" si="65"/>
        <v>5.5437978891073456</v>
      </c>
      <c r="AS95">
        <f t="shared" si="56"/>
        <v>0.33268023767025812</v>
      </c>
      <c r="AT95">
        <f t="shared" si="57"/>
        <v>0.31208450247445585</v>
      </c>
      <c r="AU95">
        <f t="shared" si="58"/>
        <v>0.29294346495666967</v>
      </c>
      <c r="AV95">
        <f t="shared" si="59"/>
        <v>0.27545569658500957</v>
      </c>
      <c r="AW95">
        <f t="shared" si="66"/>
        <v>0.38506996854855835</v>
      </c>
      <c r="AY95">
        <f t="shared" si="60"/>
        <v>0.58572839608908189</v>
      </c>
      <c r="AZ95">
        <f t="shared" si="61"/>
        <v>0.54823131318902663</v>
      </c>
      <c r="BA95">
        <f t="shared" si="62"/>
        <v>0.51419922397418261</v>
      </c>
      <c r="BB95">
        <f t="shared" si="63"/>
        <v>0.48362242868454425</v>
      </c>
      <c r="BC95">
        <f t="shared" si="67"/>
        <v>0.68951515804193086</v>
      </c>
    </row>
    <row r="96" spans="1:55" x14ac:dyDescent="0.3">
      <c r="A96">
        <f t="shared" si="68"/>
        <v>86</v>
      </c>
      <c r="C96" s="7">
        <v>66471.261794826147</v>
      </c>
      <c r="D96" s="7">
        <v>73278.6433148879</v>
      </c>
      <c r="E96" s="7">
        <v>80182.272449500655</v>
      </c>
      <c r="F96" s="7">
        <v>85476.845228202466</v>
      </c>
      <c r="G96" s="7">
        <v>38164.20455340248</v>
      </c>
      <c r="I96">
        <f t="shared" si="69"/>
        <v>0.16364101836213282</v>
      </c>
      <c r="J96">
        <f t="shared" si="70"/>
        <v>0.18131732961876759</v>
      </c>
      <c r="K96">
        <f t="shared" si="71"/>
        <v>0.19914361507099768</v>
      </c>
      <c r="L96">
        <f t="shared" si="72"/>
        <v>0.21701830827356827</v>
      </c>
      <c r="M96">
        <f t="shared" si="73"/>
        <v>0.14311189075063954</v>
      </c>
      <c r="O96">
        <f t="shared" si="74"/>
        <v>66471.261794826147</v>
      </c>
      <c r="P96">
        <f t="shared" si="74"/>
        <v>73278.6433148879</v>
      </c>
      <c r="Q96">
        <f t="shared" si="74"/>
        <v>80182.272449500655</v>
      </c>
      <c r="R96">
        <f t="shared" si="74"/>
        <v>85476.845228202466</v>
      </c>
      <c r="S96">
        <f t="shared" si="74"/>
        <v>38164.20455340248</v>
      </c>
      <c r="U96">
        <f t="shared" si="38"/>
        <v>510380.90585113823</v>
      </c>
      <c r="V96">
        <f t="shared" si="39"/>
        <v>630556.56670828105</v>
      </c>
      <c r="W96">
        <f t="shared" si="40"/>
        <v>764833.08439319662</v>
      </c>
      <c r="X96">
        <f t="shared" si="41"/>
        <v>894552.02241694718</v>
      </c>
      <c r="Y96">
        <f t="shared" si="42"/>
        <v>194760.12936349853</v>
      </c>
      <c r="AA96">
        <f t="shared" si="43"/>
        <v>22269893485.847717</v>
      </c>
      <c r="AB96">
        <f t="shared" si="44"/>
        <v>31239274972.839905</v>
      </c>
      <c r="AC96">
        <f t="shared" si="45"/>
        <v>42599984255.662415</v>
      </c>
      <c r="AD96">
        <f t="shared" si="46"/>
        <v>54432917198.790787</v>
      </c>
      <c r="AE96">
        <f t="shared" si="47"/>
        <v>4503778950.0487251</v>
      </c>
      <c r="AG96">
        <f t="shared" si="48"/>
        <v>2679763.5793768237</v>
      </c>
      <c r="AH96">
        <f t="shared" si="49"/>
        <v>3594066.446381412</v>
      </c>
      <c r="AI96">
        <f t="shared" si="50"/>
        <v>4697256.7913585743</v>
      </c>
      <c r="AJ96">
        <f t="shared" si="51"/>
        <v>5878967.3246266404</v>
      </c>
      <c r="AK96">
        <f t="shared" si="64"/>
        <v>746709.3315609626</v>
      </c>
      <c r="AM96">
        <f t="shared" si="52"/>
        <v>7.6782190087877078</v>
      </c>
      <c r="AN96">
        <f t="shared" si="53"/>
        <v>8.6049159507320176</v>
      </c>
      <c r="AO96">
        <f t="shared" si="54"/>
        <v>9.5386805715053011</v>
      </c>
      <c r="AP96">
        <f t="shared" si="55"/>
        <v>10.465430960030286</v>
      </c>
      <c r="AQ96">
        <f t="shared" si="65"/>
        <v>5.1032146914256842</v>
      </c>
      <c r="AS96">
        <f t="shared" si="56"/>
        <v>0.34356791753957017</v>
      </c>
      <c r="AT96">
        <f t="shared" si="57"/>
        <v>0.32391784529332135</v>
      </c>
      <c r="AU96">
        <f t="shared" si="58"/>
        <v>0.30535260374263962</v>
      </c>
      <c r="AV96">
        <f t="shared" si="59"/>
        <v>0.28811880123639966</v>
      </c>
      <c r="AW96">
        <f t="shared" si="66"/>
        <v>0.394072312889023</v>
      </c>
      <c r="AY96">
        <f t="shared" si="60"/>
        <v>0.60633263869327481</v>
      </c>
      <c r="AZ96">
        <f t="shared" si="61"/>
        <v>0.56989914064327785</v>
      </c>
      <c r="BA96">
        <f t="shared" si="62"/>
        <v>0.53638953446124749</v>
      </c>
      <c r="BB96">
        <f t="shared" si="63"/>
        <v>0.50590350246705251</v>
      </c>
      <c r="BC96">
        <f t="shared" si="67"/>
        <v>0.70892895654550125</v>
      </c>
    </row>
    <row r="97" spans="1:55" x14ac:dyDescent="0.3">
      <c r="A97">
        <f t="shared" si="68"/>
        <v>87</v>
      </c>
      <c r="C97" s="7">
        <v>62857.67375966176</v>
      </c>
      <c r="D97" s="7">
        <v>70291.403658321171</v>
      </c>
      <c r="E97" s="7">
        <v>77741.733910774274</v>
      </c>
      <c r="F97" s="7">
        <v>83538.45762488374</v>
      </c>
      <c r="G97" s="7">
        <v>33802.468461611032</v>
      </c>
      <c r="I97">
        <f t="shared" si="69"/>
        <v>0.16667383217572762</v>
      </c>
      <c r="J97">
        <f t="shared" si="70"/>
        <v>0.1886607491878429</v>
      </c>
      <c r="K97">
        <f t="shared" si="71"/>
        <v>0.21090898123846691</v>
      </c>
      <c r="L97">
        <f t="shared" si="72"/>
        <v>0.23323917025942001</v>
      </c>
      <c r="M97">
        <f t="shared" si="73"/>
        <v>0.11964271317662914</v>
      </c>
      <c r="O97">
        <f t="shared" si="74"/>
        <v>62857.67375966176</v>
      </c>
      <c r="P97">
        <f t="shared" si="74"/>
        <v>70291.403658321171</v>
      </c>
      <c r="Q97">
        <f t="shared" si="74"/>
        <v>77741.733910774274</v>
      </c>
      <c r="R97">
        <f t="shared" si="74"/>
        <v>83538.45762488374</v>
      </c>
      <c r="S97">
        <f t="shared" si="74"/>
        <v>33802.468461611032</v>
      </c>
      <c r="U97">
        <f t="shared" si="38"/>
        <v>445716.4380738943</v>
      </c>
      <c r="V97">
        <f t="shared" si="39"/>
        <v>558771.54322167649</v>
      </c>
      <c r="W97">
        <f t="shared" si="40"/>
        <v>685871.08121305914</v>
      </c>
      <c r="X97">
        <f t="shared" si="41"/>
        <v>810044.37099040416</v>
      </c>
      <c r="Y97">
        <f t="shared" si="42"/>
        <v>158776.79285599178</v>
      </c>
      <c r="AA97">
        <f t="shared" si="43"/>
        <v>18087311924.726173</v>
      </c>
      <c r="AB97">
        <f t="shared" si="44"/>
        <v>26085441742.470394</v>
      </c>
      <c r="AC97">
        <f t="shared" si="45"/>
        <v>36364489957.079124</v>
      </c>
      <c r="AD97">
        <f t="shared" si="46"/>
        <v>47291060936.952286</v>
      </c>
      <c r="AE97">
        <f t="shared" si="47"/>
        <v>3207393048.6917205</v>
      </c>
      <c r="AG97">
        <f t="shared" si="48"/>
        <v>2202016.0397505709</v>
      </c>
      <c r="AH97">
        <f t="shared" si="49"/>
        <v>2999651.3280544803</v>
      </c>
      <c r="AI97">
        <f t="shared" si="50"/>
        <v>3972108.0867670076</v>
      </c>
      <c r="AJ97">
        <f t="shared" si="51"/>
        <v>5026830.6602232419</v>
      </c>
      <c r="AK97">
        <f t="shared" si="64"/>
        <v>570304.34845886671</v>
      </c>
      <c r="AM97">
        <f t="shared" si="52"/>
        <v>7.0908834421411253</v>
      </c>
      <c r="AN97">
        <f t="shared" si="53"/>
        <v>7.9493581596094431</v>
      </c>
      <c r="AO97">
        <f t="shared" si="54"/>
        <v>8.8224309738222058</v>
      </c>
      <c r="AP97">
        <f t="shared" si="55"/>
        <v>9.6966641954030397</v>
      </c>
      <c r="AQ97">
        <f t="shared" si="65"/>
        <v>4.6971952073947572</v>
      </c>
      <c r="AS97">
        <f t="shared" si="56"/>
        <v>0.35440958703347791</v>
      </c>
      <c r="AT97">
        <f t="shared" si="57"/>
        <v>0.33585684758829559</v>
      </c>
      <c r="AU97">
        <f t="shared" si="58"/>
        <v>0.31800563532699622</v>
      </c>
      <c r="AV97">
        <f t="shared" si="59"/>
        <v>0.30115027899074109</v>
      </c>
      <c r="AW97">
        <f t="shared" si="66"/>
        <v>0.40239153296104113</v>
      </c>
      <c r="AY97">
        <f t="shared" si="60"/>
        <v>0.62725614863510115</v>
      </c>
      <c r="AZ97">
        <f t="shared" si="61"/>
        <v>0.59213502567242837</v>
      </c>
      <c r="BA97">
        <f t="shared" si="62"/>
        <v>0.5593439647365821</v>
      </c>
      <c r="BB97">
        <f t="shared" si="63"/>
        <v>0.52910324292778343</v>
      </c>
      <c r="BC97">
        <f t="shared" si="67"/>
        <v>0.72757448971512906</v>
      </c>
    </row>
    <row r="98" spans="1:55" x14ac:dyDescent="0.3">
      <c r="A98">
        <f t="shared" si="68"/>
        <v>88</v>
      </c>
      <c r="C98" s="7">
        <v>58840.972863621471</v>
      </c>
      <c r="D98" s="7">
        <v>66845.786168382692</v>
      </c>
      <c r="E98" s="7">
        <v>74830.405372765963</v>
      </c>
      <c r="F98" s="7">
        <v>81153.55690486911</v>
      </c>
      <c r="G98" s="7">
        <v>29480.969957860354</v>
      </c>
      <c r="I98">
        <f t="shared" si="69"/>
        <v>0.14958343551261691</v>
      </c>
      <c r="J98">
        <f t="shared" si="70"/>
        <v>0.16850861755729879</v>
      </c>
      <c r="K98">
        <f t="shared" si="71"/>
        <v>0.18764696407542053</v>
      </c>
      <c r="L98">
        <f t="shared" si="72"/>
        <v>0.20685018703750113</v>
      </c>
      <c r="M98">
        <f t="shared" si="73"/>
        <v>0.13594440669738264</v>
      </c>
      <c r="O98">
        <f t="shared" si="74"/>
        <v>58840.972863621471</v>
      </c>
      <c r="P98">
        <f t="shared" si="74"/>
        <v>66845.786168382692</v>
      </c>
      <c r="Q98">
        <f t="shared" si="74"/>
        <v>74830.405372765963</v>
      </c>
      <c r="R98">
        <f t="shared" si="74"/>
        <v>81153.55690486911</v>
      </c>
      <c r="S98">
        <f t="shared" si="74"/>
        <v>29480.969957860354</v>
      </c>
      <c r="U98">
        <f t="shared" si="38"/>
        <v>384867.11476225272</v>
      </c>
      <c r="V98">
        <f t="shared" si="39"/>
        <v>490202.9483083245</v>
      </c>
      <c r="W98">
        <f t="shared" si="40"/>
        <v>609585.01157128904</v>
      </c>
      <c r="X98">
        <f t="shared" si="41"/>
        <v>727698.36372552766</v>
      </c>
      <c r="Y98">
        <f t="shared" si="42"/>
        <v>127135.07364625607</v>
      </c>
      <c r="AA98">
        <f t="shared" si="43"/>
        <v>14383327286.734127</v>
      </c>
      <c r="AB98">
        <f t="shared" si="44"/>
        <v>21382800177.421795</v>
      </c>
      <c r="AC98">
        <f t="shared" si="45"/>
        <v>30544219216.202103</v>
      </c>
      <c r="AD98">
        <f t="shared" si="46"/>
        <v>40509722045.198181</v>
      </c>
      <c r="AE98">
        <f t="shared" si="47"/>
        <v>2204638375.0341372</v>
      </c>
      <c r="AG98">
        <f t="shared" si="48"/>
        <v>1787058.9884071676</v>
      </c>
      <c r="AH98">
        <f t="shared" si="49"/>
        <v>2475451.2170803081</v>
      </c>
      <c r="AI98">
        <f t="shared" si="50"/>
        <v>3324622.6510863341</v>
      </c>
      <c r="AJ98">
        <f t="shared" si="51"/>
        <v>4258158.034591943</v>
      </c>
      <c r="AK98">
        <f t="shared" si="64"/>
        <v>427708.54008305533</v>
      </c>
      <c r="AM98">
        <f t="shared" si="52"/>
        <v>6.5408013503494846</v>
      </c>
      <c r="AN98">
        <f t="shared" si="53"/>
        <v>7.3333410586797019</v>
      </c>
      <c r="AO98">
        <f t="shared" si="54"/>
        <v>8.1462208915567835</v>
      </c>
      <c r="AP98">
        <f t="shared" si="55"/>
        <v>8.9669312286405365</v>
      </c>
      <c r="AQ98">
        <f t="shared" si="65"/>
        <v>4.3124454123450144</v>
      </c>
      <c r="AS98">
        <f t="shared" si="56"/>
        <v>0.36486109783308762</v>
      </c>
      <c r="AT98">
        <f t="shared" si="57"/>
        <v>0.34744875416355259</v>
      </c>
      <c r="AU98">
        <f t="shared" si="58"/>
        <v>0.33039814203842655</v>
      </c>
      <c r="AV98">
        <f t="shared" si="59"/>
        <v>0.31403760891143706</v>
      </c>
      <c r="AW98">
        <f t="shared" si="66"/>
        <v>0.41179296347249772</v>
      </c>
      <c r="AY98">
        <f t="shared" si="60"/>
        <v>0.64791961822557576</v>
      </c>
      <c r="AZ98">
        <f t="shared" si="61"/>
        <v>0.61419075916360155</v>
      </c>
      <c r="BA98">
        <f t="shared" si="62"/>
        <v>0.58224054915328327</v>
      </c>
      <c r="BB98">
        <f t="shared" si="63"/>
        <v>0.55239324589129735</v>
      </c>
      <c r="BC98">
        <f t="shared" si="67"/>
        <v>0.74848586554876562</v>
      </c>
    </row>
    <row r="99" spans="1:55" x14ac:dyDescent="0.3">
      <c r="A99">
        <f t="shared" si="68"/>
        <v>89</v>
      </c>
      <c r="C99" s="7">
        <v>54497.189385045938</v>
      </c>
      <c r="D99" s="7">
        <v>62985.349699505088</v>
      </c>
      <c r="E99" s="7">
        <v>71462.883537153757</v>
      </c>
      <c r="F99" s="7">
        <v>78313.756736919124</v>
      </c>
      <c r="G99" s="7">
        <v>25204.868201857196</v>
      </c>
      <c r="I99">
        <f t="shared" si="69"/>
        <v>0.16230305928481101</v>
      </c>
      <c r="J99">
        <f t="shared" si="70"/>
        <v>0.18221700829133675</v>
      </c>
      <c r="K99">
        <f t="shared" si="71"/>
        <v>0.20236507837283241</v>
      </c>
      <c r="L99">
        <f t="shared" si="72"/>
        <v>0.22258661803955351</v>
      </c>
      <c r="M99">
        <f t="shared" si="73"/>
        <v>0.15302134639248097</v>
      </c>
      <c r="O99">
        <f t="shared" si="74"/>
        <v>54497.189385045938</v>
      </c>
      <c r="P99">
        <f t="shared" si="74"/>
        <v>62985.349699505088</v>
      </c>
      <c r="Q99">
        <f t="shared" si="74"/>
        <v>71462.883537153757</v>
      </c>
      <c r="R99">
        <f t="shared" si="74"/>
        <v>78313.756736919124</v>
      </c>
      <c r="S99">
        <f t="shared" si="74"/>
        <v>25204.868201857196</v>
      </c>
      <c r="U99">
        <f t="shared" si="38"/>
        <v>328198.03363791906</v>
      </c>
      <c r="V99">
        <f t="shared" si="39"/>
        <v>425287.38037438056</v>
      </c>
      <c r="W99">
        <f t="shared" si="40"/>
        <v>536438.36711632914</v>
      </c>
      <c r="X99">
        <f t="shared" si="41"/>
        <v>647964.70690463355</v>
      </c>
      <c r="Y99">
        <f t="shared" si="42"/>
        <v>99792.154566397294</v>
      </c>
      <c r="AA99">
        <f t="shared" si="43"/>
        <v>11170370160.015417</v>
      </c>
      <c r="AB99">
        <f t="shared" si="44"/>
        <v>17167527303.091124</v>
      </c>
      <c r="AC99">
        <f t="shared" si="45"/>
        <v>25192842604.239017</v>
      </c>
      <c r="AD99">
        <f t="shared" si="46"/>
        <v>34151593976.416576</v>
      </c>
      <c r="AE99">
        <f t="shared" si="47"/>
        <v>1455479397.3741243</v>
      </c>
      <c r="AG99">
        <f t="shared" si="48"/>
        <v>1430888.3961636298</v>
      </c>
      <c r="AH99">
        <f t="shared" si="49"/>
        <v>2018027.7557780291</v>
      </c>
      <c r="AI99">
        <f t="shared" si="50"/>
        <v>2751891.5885621593</v>
      </c>
      <c r="AJ99">
        <f t="shared" si="51"/>
        <v>3570563.1492908583</v>
      </c>
      <c r="AK99">
        <f t="shared" si="64"/>
        <v>314601.26778972888</v>
      </c>
      <c r="AM99">
        <f t="shared" si="52"/>
        <v>6.0222928437475858</v>
      </c>
      <c r="AN99">
        <f t="shared" si="53"/>
        <v>6.7521635174428871</v>
      </c>
      <c r="AO99">
        <f t="shared" si="54"/>
        <v>7.5065312308232466</v>
      </c>
      <c r="AP99">
        <f t="shared" si="55"/>
        <v>8.2739576532045778</v>
      </c>
      <c r="AQ99">
        <f t="shared" si="65"/>
        <v>3.959241277010296</v>
      </c>
      <c r="AS99">
        <f t="shared" si="56"/>
        <v>0.37546398842520201</v>
      </c>
      <c r="AT99">
        <f t="shared" si="57"/>
        <v>0.35910673778773872</v>
      </c>
      <c r="AU99">
        <f t="shared" si="58"/>
        <v>0.34283139837565735</v>
      </c>
      <c r="AV99">
        <f t="shared" si="59"/>
        <v>0.32698991937868249</v>
      </c>
      <c r="AW99">
        <f t="shared" si="66"/>
        <v>0.42133764244093019</v>
      </c>
      <c r="AY99">
        <f t="shared" si="60"/>
        <v>0.6692516829638967</v>
      </c>
      <c r="AZ99">
        <f t="shared" si="61"/>
        <v>0.63679093783049756</v>
      </c>
      <c r="BA99">
        <f t="shared" si="62"/>
        <v>0.6056329305008844</v>
      </c>
      <c r="BB99">
        <f t="shared" si="63"/>
        <v>0.57618867334169299</v>
      </c>
      <c r="BC99">
        <f t="shared" si="67"/>
        <v>0.76974654016084509</v>
      </c>
    </row>
    <row r="100" spans="1:55" x14ac:dyDescent="0.3">
      <c r="A100">
        <f t="shared" si="68"/>
        <v>90</v>
      </c>
      <c r="C100" s="7">
        <v>49796.559612982877</v>
      </c>
      <c r="D100" s="7">
        <v>58646.405298394755</v>
      </c>
      <c r="E100" s="7">
        <v>67545.68701350897</v>
      </c>
      <c r="F100" s="7">
        <v>74905.196380836613</v>
      </c>
      <c r="G100" s="7">
        <v>20997.801341760256</v>
      </c>
      <c r="I100">
        <f t="shared" si="69"/>
        <v>0.17351160097178289</v>
      </c>
      <c r="J100">
        <f t="shared" si="70"/>
        <v>0.19392342190305292</v>
      </c>
      <c r="K100">
        <f t="shared" si="71"/>
        <v>0.21415274608524429</v>
      </c>
      <c r="L100">
        <f t="shared" si="72"/>
        <v>0.23432668006694299</v>
      </c>
      <c r="M100">
        <f t="shared" si="73"/>
        <v>0.13022345688361367</v>
      </c>
      <c r="O100">
        <f t="shared" si="74"/>
        <v>49796.559612982877</v>
      </c>
      <c r="P100">
        <f t="shared" si="74"/>
        <v>58646.405298394755</v>
      </c>
      <c r="Q100">
        <f t="shared" si="74"/>
        <v>67545.68701350897</v>
      </c>
      <c r="R100">
        <f t="shared" si="74"/>
        <v>74905.196380836613</v>
      </c>
      <c r="S100">
        <f t="shared" si="74"/>
        <v>20997.801341760256</v>
      </c>
      <c r="U100">
        <f t="shared" si="38"/>
        <v>276051.15913890465</v>
      </c>
      <c r="V100">
        <f t="shared" si="39"/>
        <v>364471.50287543063</v>
      </c>
      <c r="W100">
        <f t="shared" si="40"/>
        <v>466934.08184099779</v>
      </c>
      <c r="X100">
        <f t="shared" si="41"/>
        <v>571355.2303457557</v>
      </c>
      <c r="Y100">
        <f t="shared" si="42"/>
        <v>76690.819794588562</v>
      </c>
      <c r="AA100">
        <f t="shared" si="43"/>
        <v>8449232313.3116245</v>
      </c>
      <c r="AB100">
        <f t="shared" si="44"/>
        <v>13467387477.247513</v>
      </c>
      <c r="AC100">
        <f t="shared" si="45"/>
        <v>20360718230.220634</v>
      </c>
      <c r="AD100">
        <f t="shared" si="46"/>
        <v>28281613887.482899</v>
      </c>
      <c r="AE100">
        <f t="shared" si="47"/>
        <v>920332778.17116833</v>
      </c>
      <c r="AG100">
        <f t="shared" si="48"/>
        <v>1129155.5189228898</v>
      </c>
      <c r="AH100">
        <f t="shared" si="49"/>
        <v>1623509.8928532163</v>
      </c>
      <c r="AI100">
        <f t="shared" si="50"/>
        <v>2250531.7971271328</v>
      </c>
      <c r="AJ100">
        <f t="shared" si="51"/>
        <v>2961187.2273620036</v>
      </c>
      <c r="AK100">
        <f t="shared" si="64"/>
        <v>226710.36951424403</v>
      </c>
      <c r="AM100">
        <f t="shared" si="52"/>
        <v>5.5435789396770501</v>
      </c>
      <c r="AN100">
        <f t="shared" si="53"/>
        <v>6.2147287804084179</v>
      </c>
      <c r="AO100">
        <f t="shared" si="54"/>
        <v>6.9128630188869371</v>
      </c>
      <c r="AP100">
        <f t="shared" si="55"/>
        <v>7.6277115334007517</v>
      </c>
      <c r="AQ100">
        <f t="shared" si="65"/>
        <v>3.6523261910315576</v>
      </c>
      <c r="AS100">
        <f t="shared" si="56"/>
        <v>0.38534936119978991</v>
      </c>
      <c r="AT100">
        <f t="shared" si="57"/>
        <v>0.36994511861424118</v>
      </c>
      <c r="AU100">
        <f t="shared" si="58"/>
        <v>0.35443511987593446</v>
      </c>
      <c r="AV100">
        <f t="shared" si="59"/>
        <v>0.33917565455478249</v>
      </c>
      <c r="AW100">
        <f t="shared" si="66"/>
        <v>0.42848492927734994</v>
      </c>
      <c r="AY100">
        <f t="shared" si="60"/>
        <v>0.68972454023697982</v>
      </c>
      <c r="AZ100">
        <f t="shared" si="61"/>
        <v>0.65841087862588321</v>
      </c>
      <c r="BA100">
        <f t="shared" si="62"/>
        <v>0.62804916266386357</v>
      </c>
      <c r="BB100">
        <f t="shared" si="63"/>
        <v>0.59910325379874585</v>
      </c>
      <c r="BC100">
        <f t="shared" si="67"/>
        <v>0.78662715636134584</v>
      </c>
    </row>
    <row r="101" spans="1:55" x14ac:dyDescent="0.3">
      <c r="A101">
        <f t="shared" si="68"/>
        <v>91</v>
      </c>
      <c r="C101" s="7">
        <v>44730.314779484244</v>
      </c>
      <c r="D101" s="7">
        <v>53778.606365674663</v>
      </c>
      <c r="E101" s="7">
        <v>62989.462214165229</v>
      </c>
      <c r="F101" s="7">
        <v>70808.049976720489</v>
      </c>
      <c r="G101" s="7">
        <v>17054.243741402835</v>
      </c>
      <c r="I101">
        <f t="shared" si="69"/>
        <v>0.10763040571665074</v>
      </c>
      <c r="J101">
        <f t="shared" si="70"/>
        <v>0.10897575329043864</v>
      </c>
      <c r="K101">
        <f t="shared" si="71"/>
        <v>0.1105925663874107</v>
      </c>
      <c r="L101">
        <f t="shared" si="72"/>
        <v>0.11229292765608348</v>
      </c>
      <c r="M101">
        <f t="shared" si="73"/>
        <v>0.10254482703791615</v>
      </c>
      <c r="O101">
        <f t="shared" si="74"/>
        <v>44730.314779484244</v>
      </c>
      <c r="P101">
        <f t="shared" si="74"/>
        <v>53778.606365674663</v>
      </c>
      <c r="Q101">
        <f t="shared" si="74"/>
        <v>62989.462214165229</v>
      </c>
      <c r="R101">
        <f t="shared" si="74"/>
        <v>70808.049976720489</v>
      </c>
      <c r="S101">
        <f t="shared" si="74"/>
        <v>17054.243741402835</v>
      </c>
      <c r="U101">
        <f t="shared" si="38"/>
        <v>228787.72194267108</v>
      </c>
      <c r="V101">
        <f t="shared" si="39"/>
        <v>308258.99704339594</v>
      </c>
      <c r="W101">
        <f t="shared" si="40"/>
        <v>401666.50722716068</v>
      </c>
      <c r="X101">
        <f t="shared" si="41"/>
        <v>498498.60716697719</v>
      </c>
      <c r="Y101">
        <f t="shared" si="42"/>
        <v>57664.797253007018</v>
      </c>
      <c r="AA101">
        <f t="shared" si="43"/>
        <v>6213260914.6498976</v>
      </c>
      <c r="AB101">
        <f t="shared" si="44"/>
        <v>10305567043.126862</v>
      </c>
      <c r="AC101">
        <f t="shared" si="45"/>
        <v>16099132002.212662</v>
      </c>
      <c r="AD101">
        <f t="shared" si="46"/>
        <v>22972127462.413635</v>
      </c>
      <c r="AE101">
        <f t="shared" si="47"/>
        <v>557047273.87278783</v>
      </c>
      <c r="AG101">
        <f t="shared" si="48"/>
        <v>877158.26545156038</v>
      </c>
      <c r="AH101">
        <f t="shared" si="49"/>
        <v>1287550.2928048631</v>
      </c>
      <c r="AI101">
        <f t="shared" si="50"/>
        <v>1816611.1879929986</v>
      </c>
      <c r="AJ101">
        <f t="shared" si="51"/>
        <v>2426601.7374726469</v>
      </c>
      <c r="AK101">
        <f t="shared" si="64"/>
        <v>159861.19079047602</v>
      </c>
      <c r="AM101">
        <f t="shared" si="52"/>
        <v>5.114824768628849</v>
      </c>
      <c r="AN101">
        <f t="shared" si="53"/>
        <v>5.7320004714764936</v>
      </c>
      <c r="AO101">
        <f t="shared" si="54"/>
        <v>6.3767254570532419</v>
      </c>
      <c r="AP101">
        <f t="shared" si="55"/>
        <v>7.0401403135783038</v>
      </c>
      <c r="AQ101">
        <f t="shared" si="65"/>
        <v>3.3812579512402157</v>
      </c>
      <c r="AS101">
        <f t="shared" si="56"/>
        <v>0.39286548477045857</v>
      </c>
      <c r="AT101">
        <f t="shared" si="57"/>
        <v>0.37834906912949096</v>
      </c>
      <c r="AU101">
        <f t="shared" si="58"/>
        <v>0.36368971789070226</v>
      </c>
      <c r="AV101">
        <f t="shared" si="59"/>
        <v>0.34918937600503797</v>
      </c>
      <c r="AW101">
        <f t="shared" si="66"/>
        <v>0.43356664657832289</v>
      </c>
      <c r="AY101">
        <f t="shared" si="60"/>
        <v>0.70650400199465724</v>
      </c>
      <c r="AZ101">
        <f t="shared" si="61"/>
        <v>0.67629729628359858</v>
      </c>
      <c r="BA101">
        <f t="shared" si="62"/>
        <v>0.64691399492510493</v>
      </c>
      <c r="BB101">
        <f t="shared" si="63"/>
        <v>0.61876973761405296</v>
      </c>
      <c r="BC101">
        <f t="shared" si="67"/>
        <v>0.7998586671302258</v>
      </c>
    </row>
    <row r="102" spans="1:55" x14ac:dyDescent="0.3">
      <c r="A102">
        <f t="shared" si="68"/>
        <v>92</v>
      </c>
      <c r="C102" s="7">
        <v>39692.588891996173</v>
      </c>
      <c r="D102" s="7">
        <v>48825.301590741692</v>
      </c>
      <c r="E102" s="7">
        <v>58262.810163053466</v>
      </c>
      <c r="F102" s="7">
        <v>66489.050123899025</v>
      </c>
      <c r="G102" s="7">
        <v>13543.640565340713</v>
      </c>
      <c r="I102">
        <f t="shared" si="69"/>
        <v>0.14002329820660803</v>
      </c>
      <c r="J102">
        <f t="shared" si="70"/>
        <v>0.15222434947075322</v>
      </c>
      <c r="K102">
        <f t="shared" si="71"/>
        <v>0.16449039519203368</v>
      </c>
      <c r="L102">
        <f t="shared" si="72"/>
        <v>0.17677684909458213</v>
      </c>
      <c r="M102">
        <f t="shared" si="73"/>
        <v>0.10749766479050875</v>
      </c>
      <c r="O102">
        <f t="shared" si="74"/>
        <v>39692.588891996173</v>
      </c>
      <c r="P102">
        <f t="shared" si="74"/>
        <v>48825.301590741692</v>
      </c>
      <c r="Q102">
        <f t="shared" si="74"/>
        <v>58262.810163053466</v>
      </c>
      <c r="R102">
        <f t="shared" si="74"/>
        <v>66489.050123899025</v>
      </c>
      <c r="S102">
        <f t="shared" si="74"/>
        <v>13543.640565340713</v>
      </c>
      <c r="U102">
        <f t="shared" si="38"/>
        <v>186576.27010693087</v>
      </c>
      <c r="V102">
        <f t="shared" si="39"/>
        <v>256957.04306518775</v>
      </c>
      <c r="W102">
        <f t="shared" si="40"/>
        <v>341040.37103855133</v>
      </c>
      <c r="X102">
        <f t="shared" si="41"/>
        <v>429850.05711666745</v>
      </c>
      <c r="Y102">
        <f t="shared" si="42"/>
        <v>42365.855099635242</v>
      </c>
      <c r="AA102">
        <f t="shared" si="43"/>
        <v>4429339358.3924265</v>
      </c>
      <c r="AB102">
        <f t="shared" si="44"/>
        <v>7671631958.7952232</v>
      </c>
      <c r="AC102">
        <f t="shared" si="45"/>
        <v>12421741843.085163</v>
      </c>
      <c r="AD102">
        <f t="shared" si="46"/>
        <v>18257949558.426361</v>
      </c>
      <c r="AE102">
        <f t="shared" si="47"/>
        <v>321962614.97225726</v>
      </c>
      <c r="AG102">
        <f t="shared" si="48"/>
        <v>669896.07991738338</v>
      </c>
      <c r="AH102">
        <f t="shared" si="49"/>
        <v>1005355.0481484825</v>
      </c>
      <c r="AI102">
        <f t="shared" si="50"/>
        <v>1445651.6365310687</v>
      </c>
      <c r="AJ102">
        <f t="shared" si="51"/>
        <v>1962787.3219852266</v>
      </c>
      <c r="AK102">
        <f t="shared" si="64"/>
        <v>110138.41487882673</v>
      </c>
      <c r="AM102">
        <f t="shared" si="52"/>
        <v>4.7005316436931404</v>
      </c>
      <c r="AN102">
        <f t="shared" si="53"/>
        <v>5.2627845541851652</v>
      </c>
      <c r="AO102">
        <f t="shared" si="54"/>
        <v>5.8534830380498404</v>
      </c>
      <c r="AP102">
        <f t="shared" si="55"/>
        <v>6.4649751547911025</v>
      </c>
      <c r="AQ102">
        <f t="shared" si="65"/>
        <v>3.128099486636772</v>
      </c>
      <c r="AS102">
        <f t="shared" si="56"/>
        <v>0.40190093611297617</v>
      </c>
      <c r="AT102">
        <f t="shared" si="57"/>
        <v>0.38851994054973071</v>
      </c>
      <c r="AU102">
        <f t="shared" si="58"/>
        <v>0.37484849772408135</v>
      </c>
      <c r="AV102">
        <f t="shared" si="59"/>
        <v>0.36117061373036974</v>
      </c>
      <c r="AW102">
        <f t="shared" si="66"/>
        <v>0.43888219448723165</v>
      </c>
      <c r="AY102">
        <f t="shared" si="60"/>
        <v>0.72641985789210539</v>
      </c>
      <c r="AZ102">
        <f t="shared" si="61"/>
        <v>0.69776154373152077</v>
      </c>
      <c r="BA102">
        <f t="shared" si="62"/>
        <v>0.6695893463231174</v>
      </c>
      <c r="BB102">
        <f t="shared" si="63"/>
        <v>0.64233995235337071</v>
      </c>
      <c r="BC102">
        <f t="shared" si="67"/>
        <v>0.81373086615572754</v>
      </c>
    </row>
    <row r="103" spans="1:55" x14ac:dyDescent="0.3">
      <c r="A103">
        <f t="shared" si="68"/>
        <v>93</v>
      </c>
      <c r="C103" s="7">
        <v>34595.325379026632</v>
      </c>
      <c r="D103" s="7">
        <v>43629.520893835434</v>
      </c>
      <c r="E103" s="7">
        <v>53144.472988335358</v>
      </c>
      <c r="F103" s="7">
        <v>61678.311983101506</v>
      </c>
      <c r="G103" s="7">
        <v>10478.003367542555</v>
      </c>
      <c r="I103">
        <f t="shared" si="69"/>
        <v>0.13588706742233395</v>
      </c>
      <c r="J103">
        <f t="shared" si="70"/>
        <v>0.14737177015734823</v>
      </c>
      <c r="K103">
        <f t="shared" si="71"/>
        <v>0.15893051959689358</v>
      </c>
      <c r="L103">
        <f t="shared" si="72"/>
        <v>0.17051228801397575</v>
      </c>
      <c r="M103">
        <f t="shared" si="73"/>
        <v>0.10414695742243776</v>
      </c>
      <c r="O103">
        <f t="shared" si="74"/>
        <v>34595.325379026632</v>
      </c>
      <c r="P103">
        <f t="shared" si="74"/>
        <v>43629.520893835434</v>
      </c>
      <c r="Q103">
        <f t="shared" si="74"/>
        <v>53144.472988335358</v>
      </c>
      <c r="R103">
        <f t="shared" si="74"/>
        <v>61678.311983101506</v>
      </c>
      <c r="S103">
        <f t="shared" si="74"/>
        <v>10478.003367542555</v>
      </c>
      <c r="U103">
        <f t="shared" si="38"/>
        <v>149432.31297141945</v>
      </c>
      <c r="V103">
        <f t="shared" si="39"/>
        <v>210729.63182289922</v>
      </c>
      <c r="W103">
        <f t="shared" si="40"/>
        <v>285336.72946285689</v>
      </c>
      <c r="X103">
        <f t="shared" si="41"/>
        <v>365766.37606316718</v>
      </c>
      <c r="Y103">
        <f t="shared" si="42"/>
        <v>30355.033133193607</v>
      </c>
      <c r="AA103">
        <f t="shared" si="43"/>
        <v>3047500632.0976639</v>
      </c>
      <c r="AB103">
        <f t="shared" si="44"/>
        <v>5532408730.5440273</v>
      </c>
      <c r="AC103">
        <f t="shared" si="45"/>
        <v>9316663043.672224</v>
      </c>
      <c r="AD103">
        <f t="shared" si="46"/>
        <v>14149302780.938004</v>
      </c>
      <c r="AE103">
        <f t="shared" si="47"/>
        <v>176919593.04365677</v>
      </c>
      <c r="AG103">
        <f t="shared" si="48"/>
        <v>502316.56033762236</v>
      </c>
      <c r="AH103">
        <f t="shared" si="49"/>
        <v>771944.69242918119</v>
      </c>
      <c r="AI103">
        <f t="shared" si="50"/>
        <v>1132889.6143782579</v>
      </c>
      <c r="AJ103">
        <f t="shared" si="51"/>
        <v>1565380.0002403758</v>
      </c>
      <c r="AK103">
        <f t="shared" si="64"/>
        <v>74033.440528895488</v>
      </c>
      <c r="AM103">
        <f t="shared" si="52"/>
        <v>4.3194365520265521</v>
      </c>
      <c r="AN103">
        <f t="shared" si="53"/>
        <v>4.8299781319091668</v>
      </c>
      <c r="AO103">
        <f t="shared" si="54"/>
        <v>5.3690762824101244</v>
      </c>
      <c r="AP103">
        <f t="shared" si="55"/>
        <v>5.9302267572332248</v>
      </c>
      <c r="AQ103">
        <f t="shared" si="65"/>
        <v>2.8970245635942073</v>
      </c>
      <c r="AS103">
        <f t="shared" si="56"/>
        <v>0.41050263787119468</v>
      </c>
      <c r="AT103">
        <f t="shared" si="57"/>
        <v>0.39826093662903916</v>
      </c>
      <c r="AU103">
        <f t="shared" si="58"/>
        <v>0.38560934002836011</v>
      </c>
      <c r="AV103">
        <f t="shared" si="59"/>
        <v>0.37281049673300404</v>
      </c>
      <c r="AW103">
        <f t="shared" si="66"/>
        <v>0.44375427432639036</v>
      </c>
      <c r="AY103">
        <f t="shared" si="60"/>
        <v>0.74595744503945804</v>
      </c>
      <c r="AZ103">
        <f t="shared" si="61"/>
        <v>0.71892953989226116</v>
      </c>
      <c r="BA103">
        <f t="shared" si="62"/>
        <v>0.69207897939740448</v>
      </c>
      <c r="BB103">
        <f t="shared" si="63"/>
        <v>0.66585291538235503</v>
      </c>
      <c r="BC103">
        <f t="shared" si="67"/>
        <v>0.82688574738057385</v>
      </c>
    </row>
    <row r="104" spans="1:55" x14ac:dyDescent="0.3">
      <c r="A104">
        <f t="shared" si="68"/>
        <v>94</v>
      </c>
      <c r="C104" s="7">
        <v>29555.417015551295</v>
      </c>
      <c r="D104" s="7">
        <v>38296.317982909175</v>
      </c>
      <c r="E104" s="7">
        <v>47714.019879837651</v>
      </c>
      <c r="F104" s="7">
        <v>56422.303214303261</v>
      </c>
      <c r="G104" s="7">
        <v>7881.1164848809203</v>
      </c>
      <c r="I104">
        <f t="shared" si="69"/>
        <v>0.13135154054351114</v>
      </c>
      <c r="J104">
        <f t="shared" si="70"/>
        <v>0.14216201456010932</v>
      </c>
      <c r="K104">
        <f t="shared" si="71"/>
        <v>0.15305425495256739</v>
      </c>
      <c r="L104">
        <f t="shared" si="72"/>
        <v>0.16397175607372361</v>
      </c>
      <c r="M104">
        <f t="shared" si="73"/>
        <v>0.10056676677059241</v>
      </c>
      <c r="O104">
        <f t="shared" si="74"/>
        <v>29555.417015551295</v>
      </c>
      <c r="P104">
        <f t="shared" si="74"/>
        <v>38296.317982909175</v>
      </c>
      <c r="Q104">
        <f t="shared" si="74"/>
        <v>47714.019879837651</v>
      </c>
      <c r="R104">
        <f t="shared" si="74"/>
        <v>56422.303214303261</v>
      </c>
      <c r="S104">
        <f t="shared" si="74"/>
        <v>7881.1164848809203</v>
      </c>
      <c r="U104">
        <f t="shared" si="38"/>
        <v>117356.94177413049</v>
      </c>
      <c r="V104">
        <f t="shared" si="39"/>
        <v>169766.71238452694</v>
      </c>
      <c r="W104">
        <f t="shared" si="40"/>
        <v>234907.48302877037</v>
      </c>
      <c r="X104">
        <f t="shared" si="41"/>
        <v>306716.0684644648</v>
      </c>
      <c r="Y104">
        <f t="shared" si="42"/>
        <v>21175.473206981867</v>
      </c>
      <c r="AA104">
        <f t="shared" si="43"/>
        <v>2016554471.6277702</v>
      </c>
      <c r="AB104">
        <f t="shared" si="44"/>
        <v>3852077707.1886883</v>
      </c>
      <c r="AC104">
        <f t="shared" si="45"/>
        <v>6771096662.6820984</v>
      </c>
      <c r="AD104">
        <f t="shared" si="46"/>
        <v>10660061817.755161</v>
      </c>
      <c r="AE104">
        <f t="shared" si="47"/>
        <v>92093287.481299311</v>
      </c>
      <c r="AG104">
        <f t="shared" si="48"/>
        <v>369341.9253284703</v>
      </c>
      <c r="AH104">
        <f t="shared" si="49"/>
        <v>582140.95390137855</v>
      </c>
      <c r="AI104">
        <f t="shared" si="50"/>
        <v>873220.04589148564</v>
      </c>
      <c r="AJ104">
        <f t="shared" si="51"/>
        <v>1229576.7787072931</v>
      </c>
      <c r="AK104">
        <f t="shared" si="64"/>
        <v>48484.594599029551</v>
      </c>
      <c r="AM104">
        <f t="shared" si="52"/>
        <v>3.9707422064923095</v>
      </c>
      <c r="AN104">
        <f t="shared" si="53"/>
        <v>4.4329774068695107</v>
      </c>
      <c r="AO104">
        <f t="shared" si="54"/>
        <v>4.9232381513936199</v>
      </c>
      <c r="AP104">
        <f t="shared" si="55"/>
        <v>5.4360784829980346</v>
      </c>
      <c r="AQ104">
        <f t="shared" si="65"/>
        <v>2.6868621022928352</v>
      </c>
      <c r="AS104">
        <f t="shared" si="56"/>
        <v>0.41861465180490054</v>
      </c>
      <c r="AT104">
        <f t="shared" si="57"/>
        <v>0.40750392113792255</v>
      </c>
      <c r="AU104">
        <f t="shared" si="58"/>
        <v>0.39588981884158825</v>
      </c>
      <c r="AV104">
        <f t="shared" si="59"/>
        <v>0.38401181256564054</v>
      </c>
      <c r="AW104">
        <f t="shared" si="66"/>
        <v>0.44816771466810879</v>
      </c>
      <c r="AY104">
        <f t="shared" si="60"/>
        <v>0.76496950070083147</v>
      </c>
      <c r="AZ104">
        <f t="shared" si="61"/>
        <v>0.73964211337725361</v>
      </c>
      <c r="BA104">
        <f t="shared" si="62"/>
        <v>0.7142135572276811</v>
      </c>
      <c r="BB104">
        <f t="shared" si="63"/>
        <v>0.689131920923304</v>
      </c>
      <c r="BC104">
        <f t="shared" si="67"/>
        <v>0.83924738650815944</v>
      </c>
    </row>
    <row r="105" spans="1:55" x14ac:dyDescent="0.3">
      <c r="A105">
        <f t="shared" si="68"/>
        <v>95</v>
      </c>
      <c r="C105" s="7">
        <v>24697.802453742883</v>
      </c>
      <c r="D105" s="7">
        <v>32952.138975646303</v>
      </c>
      <c r="E105" s="7">
        <v>42081.551253683283</v>
      </c>
      <c r="F105" s="7">
        <v>50801.531109842268</v>
      </c>
      <c r="G105" s="7">
        <v>5751.8928491289962</v>
      </c>
      <c r="I105">
        <f t="shared" si="69"/>
        <v>0.12642703949546294</v>
      </c>
      <c r="J105">
        <f t="shared" si="70"/>
        <v>0.1366031653395833</v>
      </c>
      <c r="K105">
        <f t="shared" si="71"/>
        <v>0.1468674093463917</v>
      </c>
      <c r="L105">
        <f t="shared" si="72"/>
        <v>0.15715876672831802</v>
      </c>
      <c r="M105">
        <f t="shared" si="73"/>
        <v>9.6764986042802453E-2</v>
      </c>
      <c r="O105">
        <f t="shared" si="74"/>
        <v>24697.802453742883</v>
      </c>
      <c r="P105">
        <f t="shared" si="74"/>
        <v>32952.138975646303</v>
      </c>
      <c r="Q105">
        <f t="shared" si="74"/>
        <v>42081.551253683283</v>
      </c>
      <c r="R105">
        <f t="shared" si="74"/>
        <v>50801.531109842268</v>
      </c>
      <c r="S105">
        <f t="shared" si="74"/>
        <v>5751.8928491289962</v>
      </c>
      <c r="U105">
        <f t="shared" si="38"/>
        <v>90230.332039483401</v>
      </c>
      <c r="V105">
        <f t="shared" si="39"/>
        <v>134142.48390524922</v>
      </c>
      <c r="W105">
        <f t="shared" si="40"/>
        <v>190009.69746200991</v>
      </c>
      <c r="X105">
        <f t="shared" si="41"/>
        <v>253104.15130239207</v>
      </c>
      <c r="Y105">
        <f t="shared" si="42"/>
        <v>14358.968539976908</v>
      </c>
      <c r="AA105">
        <f t="shared" si="43"/>
        <v>1278735147.6626623</v>
      </c>
      <c r="AB105">
        <f t="shared" si="44"/>
        <v>2580612031.673099</v>
      </c>
      <c r="AC105">
        <f t="shared" si="45"/>
        <v>4752641788.6479092</v>
      </c>
      <c r="AD105">
        <f t="shared" si="46"/>
        <v>7783191399.3746853</v>
      </c>
      <c r="AE105">
        <f t="shared" si="47"/>
        <v>45250752.165078543</v>
      </c>
      <c r="AG105">
        <f t="shared" si="48"/>
        <v>265953.08963514736</v>
      </c>
      <c r="AH105">
        <f t="shared" si="49"/>
        <v>430631.70400709577</v>
      </c>
      <c r="AI105">
        <f t="shared" si="50"/>
        <v>661230.82803160837</v>
      </c>
      <c r="AJ105">
        <f t="shared" si="51"/>
        <v>950135.06649923627</v>
      </c>
      <c r="AK105">
        <f t="shared" si="64"/>
        <v>30894.809028529489</v>
      </c>
      <c r="AM105">
        <f t="shared" si="52"/>
        <v>3.6533749190227751</v>
      </c>
      <c r="AN105">
        <f t="shared" si="53"/>
        <v>4.0708278149830859</v>
      </c>
      <c r="AO105">
        <f t="shared" si="54"/>
        <v>4.515273125664037</v>
      </c>
      <c r="AP105">
        <f t="shared" si="55"/>
        <v>4.9822150193688906</v>
      </c>
      <c r="AQ105">
        <f t="shared" si="65"/>
        <v>2.4963901304509304</v>
      </c>
      <c r="AS105">
        <f t="shared" si="56"/>
        <v>0.42618785723790908</v>
      </c>
      <c r="AT105">
        <f t="shared" si="57"/>
        <v>0.41618834167715169</v>
      </c>
      <c r="AU105">
        <f t="shared" si="58"/>
        <v>0.40561536399525921</v>
      </c>
      <c r="AV105">
        <f t="shared" si="59"/>
        <v>0.39468471514093439</v>
      </c>
      <c r="AW105">
        <f t="shared" si="66"/>
        <v>0.45211202148460217</v>
      </c>
      <c r="AY105">
        <f t="shared" si="60"/>
        <v>0.78330810305139553</v>
      </c>
      <c r="AZ105">
        <f t="shared" si="61"/>
        <v>0.75973715608273773</v>
      </c>
      <c r="BA105">
        <f t="shared" si="62"/>
        <v>0.73581804021809039</v>
      </c>
      <c r="BB105">
        <f t="shared" si="63"/>
        <v>0.71199145662475538</v>
      </c>
      <c r="BC105">
        <f t="shared" si="67"/>
        <v>0.85074787781546357</v>
      </c>
    </row>
    <row r="106" spans="1:55" x14ac:dyDescent="0.3">
      <c r="A106">
        <f t="shared" si="68"/>
        <v>96</v>
      </c>
      <c r="C106" s="7">
        <v>20145.15413053452</v>
      </c>
      <c r="D106" s="7">
        <v>27736.772654866072</v>
      </c>
      <c r="E106" s="7">
        <v>36383.708918968296</v>
      </c>
      <c r="F106" s="7">
        <v>44931.089019601233</v>
      </c>
      <c r="G106" s="7">
        <v>4065.7164786714329</v>
      </c>
      <c r="I106">
        <f t="shared" si="69"/>
        <v>0.12113446440557138</v>
      </c>
      <c r="J106">
        <f t="shared" si="70"/>
        <v>0.13071402469849233</v>
      </c>
      <c r="K106">
        <f t="shared" si="71"/>
        <v>0.14038664278772742</v>
      </c>
      <c r="L106">
        <f t="shared" si="72"/>
        <v>0.15008781732667595</v>
      </c>
      <c r="M106">
        <f t="shared" si="73"/>
        <v>9.2755145374794831E-2</v>
      </c>
      <c r="O106">
        <f t="shared" si="74"/>
        <v>20145.15413053452</v>
      </c>
      <c r="P106">
        <f t="shared" si="74"/>
        <v>27736.772654866072</v>
      </c>
      <c r="Q106">
        <f t="shared" si="74"/>
        <v>36383.708918968296</v>
      </c>
      <c r="R106">
        <f t="shared" si="74"/>
        <v>44931.089019601233</v>
      </c>
      <c r="S106">
        <f t="shared" si="74"/>
        <v>4065.7164786714329</v>
      </c>
      <c r="U106">
        <f t="shared" si="38"/>
        <v>67808.853747344692</v>
      </c>
      <c r="V106">
        <f t="shared" si="39"/>
        <v>103798.02808999302</v>
      </c>
      <c r="W106">
        <f t="shared" si="40"/>
        <v>150777.06737568413</v>
      </c>
      <c r="X106">
        <f t="shared" si="41"/>
        <v>205237.84123767031</v>
      </c>
      <c r="Y106">
        <f t="shared" si="42"/>
        <v>9450.1638760766928</v>
      </c>
      <c r="AA106">
        <f t="shared" si="43"/>
        <v>774285241.62824762</v>
      </c>
      <c r="AB106">
        <f t="shared" si="44"/>
        <v>1657559362.4607365</v>
      </c>
      <c r="AC106">
        <f t="shared" si="45"/>
        <v>3210737074.5514946</v>
      </c>
      <c r="AD106">
        <f t="shared" si="46"/>
        <v>5489135919.301363</v>
      </c>
      <c r="AE106">
        <f t="shared" si="47"/>
        <v>20917456.374059256</v>
      </c>
      <c r="AG106">
        <f t="shared" si="48"/>
        <v>187312.88410200071</v>
      </c>
      <c r="AH106">
        <f t="shared" si="49"/>
        <v>312096.06186953973</v>
      </c>
      <c r="AI106">
        <f t="shared" si="50"/>
        <v>491312.26580732095</v>
      </c>
      <c r="AJ106">
        <f t="shared" si="51"/>
        <v>721453.27373672521</v>
      </c>
      <c r="AK106">
        <f t="shared" si="64"/>
        <v>19130.757518040817</v>
      </c>
      <c r="AM106">
        <f t="shared" si="52"/>
        <v>3.3660131517467566</v>
      </c>
      <c r="AN106">
        <f t="shared" si="53"/>
        <v>3.7422532672265656</v>
      </c>
      <c r="AO106">
        <f t="shared" si="54"/>
        <v>4.1440818392508074</v>
      </c>
      <c r="AP106">
        <f t="shared" si="55"/>
        <v>4.567835895278102</v>
      </c>
      <c r="AQ106">
        <f t="shared" si="65"/>
        <v>2.3243538809584559</v>
      </c>
      <c r="AS106">
        <f t="shared" si="56"/>
        <v>0.43318154255733976</v>
      </c>
      <c r="AT106">
        <f t="shared" si="57"/>
        <v>0.42426310545040635</v>
      </c>
      <c r="AU106">
        <f t="shared" si="58"/>
        <v>0.41472161911992889</v>
      </c>
      <c r="AV106">
        <f t="shared" si="59"/>
        <v>0.40474972900001704</v>
      </c>
      <c r="AW106">
        <f t="shared" si="66"/>
        <v>0.45558204209949582</v>
      </c>
      <c r="AY106">
        <f t="shared" si="60"/>
        <v>0.80082970342351145</v>
      </c>
      <c r="AZ106">
        <f t="shared" si="61"/>
        <v>0.77905485760884685</v>
      </c>
      <c r="BA106">
        <f t="shared" si="62"/>
        <v>0.75671705154835034</v>
      </c>
      <c r="BB106">
        <f t="shared" si="63"/>
        <v>0.73424258481319515</v>
      </c>
      <c r="BC106">
        <f t="shared" si="67"/>
        <v>0.86133001096987061</v>
      </c>
    </row>
    <row r="107" spans="1:55" x14ac:dyDescent="0.3">
      <c r="A107">
        <f t="shared" si="68"/>
        <v>97</v>
      </c>
      <c r="C107" s="7">
        <v>16006.180928046631</v>
      </c>
      <c r="D107" s="7">
        <v>22791.828519996721</v>
      </c>
      <c r="E107" s="7">
        <v>30775.071732852048</v>
      </c>
      <c r="F107" s="7">
        <v>38956.600329661196</v>
      </c>
      <c r="G107" s="7">
        <v>2778.5547374208086</v>
      </c>
      <c r="I107">
        <f t="shared" si="69"/>
        <v>0.11550627646788306</v>
      </c>
      <c r="J107">
        <f t="shared" si="70"/>
        <v>0.1245250735054422</v>
      </c>
      <c r="K107">
        <f t="shared" si="71"/>
        <v>0.13364041443451133</v>
      </c>
      <c r="L107">
        <f t="shared" si="72"/>
        <v>0.14278532747096495</v>
      </c>
      <c r="M107">
        <f t="shared" si="73"/>
        <v>8.8556629647897553E-2</v>
      </c>
      <c r="O107">
        <f t="shared" si="74"/>
        <v>16006.180928046631</v>
      </c>
      <c r="P107">
        <f t="shared" si="74"/>
        <v>22791.828519996721</v>
      </c>
      <c r="Q107">
        <f t="shared" si="74"/>
        <v>30775.071732852048</v>
      </c>
      <c r="R107">
        <f t="shared" si="74"/>
        <v>38956.600329661196</v>
      </c>
      <c r="S107">
        <f t="shared" si="74"/>
        <v>2778.5547374208086</v>
      </c>
      <c r="U107">
        <f t="shared" si="38"/>
        <v>49733.186218054114</v>
      </c>
      <c r="V107">
        <f t="shared" si="39"/>
        <v>78533.727502561625</v>
      </c>
      <c r="W107">
        <f t="shared" si="40"/>
        <v>117197.67704977398</v>
      </c>
      <c r="X107">
        <f t="shared" si="41"/>
        <v>163293.99656303908</v>
      </c>
      <c r="Y107">
        <f t="shared" si="42"/>
        <v>6028.0282680305718</v>
      </c>
      <c r="AA107">
        <f t="shared" si="43"/>
        <v>446127893.40122187</v>
      </c>
      <c r="AB107">
        <f t="shared" si="44"/>
        <v>1017236772.2472352</v>
      </c>
      <c r="AC107">
        <f t="shared" si="45"/>
        <v>2080540218.9678745</v>
      </c>
      <c r="AD107">
        <f t="shared" si="46"/>
        <v>3726875270.2862549</v>
      </c>
      <c r="AE107">
        <f t="shared" si="47"/>
        <v>9068378.8085237853</v>
      </c>
      <c r="AG107">
        <f t="shared" si="48"/>
        <v>128886.77855284196</v>
      </c>
      <c r="AH107">
        <f t="shared" si="49"/>
        <v>221342.26275116819</v>
      </c>
      <c r="AI107">
        <f t="shared" si="50"/>
        <v>357792.28002676822</v>
      </c>
      <c r="AJ107">
        <f t="shared" si="51"/>
        <v>537685.2288938656</v>
      </c>
      <c r="AK107">
        <f t="shared" si="64"/>
        <v>11498.924924424735</v>
      </c>
      <c r="AM107">
        <f t="shared" si="52"/>
        <v>3.1071238318261014</v>
      </c>
      <c r="AN107">
        <f t="shared" si="53"/>
        <v>3.4456966642083584</v>
      </c>
      <c r="AO107">
        <f t="shared" si="54"/>
        <v>3.8082015881921327</v>
      </c>
      <c r="AP107">
        <f t="shared" si="55"/>
        <v>4.1916901162114124</v>
      </c>
      <c r="AQ107">
        <f t="shared" si="65"/>
        <v>2.16948336012487</v>
      </c>
      <c r="AS107">
        <f t="shared" si="56"/>
        <v>0.43956484204772428</v>
      </c>
      <c r="AT107">
        <f t="shared" si="57"/>
        <v>0.43168820291930088</v>
      </c>
      <c r="AU107">
        <f t="shared" si="58"/>
        <v>0.4231564539118241</v>
      </c>
      <c r="AV107">
        <f t="shared" si="59"/>
        <v>0.4141403470030931</v>
      </c>
      <c r="AW107">
        <f t="shared" si="66"/>
        <v>0.4585786014553842</v>
      </c>
      <c r="AY107">
        <f t="shared" si="60"/>
        <v>0.81740071397454106</v>
      </c>
      <c r="AZ107">
        <f t="shared" si="61"/>
        <v>0.79744362130284707</v>
      </c>
      <c r="BA107">
        <f t="shared" si="62"/>
        <v>0.77674108356242544</v>
      </c>
      <c r="BB107">
        <f t="shared" si="63"/>
        <v>0.75569934465697564</v>
      </c>
      <c r="BC107">
        <f t="shared" si="67"/>
        <v>0.87094987400449431</v>
      </c>
    </row>
    <row r="108" spans="1:55" x14ac:dyDescent="0.3">
      <c r="A108">
        <f t="shared" si="68"/>
        <v>98</v>
      </c>
      <c r="C108" s="7">
        <v>12364.45658985575</v>
      </c>
      <c r="D108" s="7">
        <v>18247.098819097653</v>
      </c>
      <c r="E108" s="7">
        <v>25415.302170205247</v>
      </c>
      <c r="F108" s="7">
        <v>33044.904077406194</v>
      </c>
      <c r="G108" s="7">
        <v>1833.128903856408</v>
      </c>
      <c r="I108">
        <f t="shared" si="69"/>
        <v>0.10958679194623727</v>
      </c>
      <c r="J108">
        <f t="shared" si="70"/>
        <v>0.11807874125435289</v>
      </c>
      <c r="K108">
        <f t="shared" si="71"/>
        <v>0.12666924071745994</v>
      </c>
      <c r="L108">
        <f t="shared" si="72"/>
        <v>0.13528988859157215</v>
      </c>
      <c r="M108">
        <f t="shared" si="73"/>
        <v>8.4194610124011263E-2</v>
      </c>
      <c r="O108">
        <f t="shared" si="74"/>
        <v>12364.45658985575</v>
      </c>
      <c r="P108">
        <f t="shared" si="74"/>
        <v>18247.098819097653</v>
      </c>
      <c r="Q108">
        <f t="shared" si="74"/>
        <v>25415.302170205247</v>
      </c>
      <c r="R108">
        <f t="shared" si="74"/>
        <v>33044.904077406194</v>
      </c>
      <c r="S108">
        <f t="shared" si="74"/>
        <v>1833.128903856408</v>
      </c>
      <c r="U108">
        <f t="shared" si="38"/>
        <v>35547.867459102927</v>
      </c>
      <c r="V108">
        <f t="shared" si="39"/>
        <v>58014.263833014433</v>
      </c>
      <c r="W108">
        <f t="shared" si="40"/>
        <v>89102.490098245325</v>
      </c>
      <c r="X108">
        <f t="shared" si="41"/>
        <v>127293.24435950536</v>
      </c>
      <c r="Y108">
        <f t="shared" si="42"/>
        <v>3722.1864473919632</v>
      </c>
      <c r="AA108">
        <f t="shared" si="43"/>
        <v>243799445.42855495</v>
      </c>
      <c r="AB108">
        <f t="shared" si="44"/>
        <v>594467168.95684874</v>
      </c>
      <c r="AC108">
        <f t="shared" si="45"/>
        <v>1288806761.6461394</v>
      </c>
      <c r="AD108">
        <f t="shared" si="46"/>
        <v>2427908765.0177751</v>
      </c>
      <c r="AE108">
        <f t="shared" si="47"/>
        <v>3676986.4728202336</v>
      </c>
      <c r="AG108">
        <f t="shared" si="48"/>
        <v>86549.728742446008</v>
      </c>
      <c r="AH108">
        <f t="shared" si="49"/>
        <v>153446.99455845507</v>
      </c>
      <c r="AI108">
        <f t="shared" si="50"/>
        <v>255088.84391631241</v>
      </c>
      <c r="AJ108">
        <f t="shared" si="51"/>
        <v>392884.24978694797</v>
      </c>
      <c r="AK108">
        <f t="shared" si="64"/>
        <v>6702.603052843835</v>
      </c>
      <c r="AM108">
        <f t="shared" si="52"/>
        <v>2.8750044290881078</v>
      </c>
      <c r="AN108">
        <f t="shared" si="53"/>
        <v>3.1793691922299421</v>
      </c>
      <c r="AO108">
        <f t="shared" si="54"/>
        <v>3.5058599540359414</v>
      </c>
      <c r="AP108">
        <f t="shared" si="55"/>
        <v>3.852129334717592</v>
      </c>
      <c r="AQ108">
        <f t="shared" si="65"/>
        <v>2.0305099328047733</v>
      </c>
      <c r="AS108">
        <f t="shared" si="56"/>
        <v>0.44531793075419579</v>
      </c>
      <c r="AT108">
        <f t="shared" si="57"/>
        <v>0.4384359922377038</v>
      </c>
      <c r="AU108">
        <f t="shared" si="58"/>
        <v>0.43088152096598142</v>
      </c>
      <c r="AV108">
        <f t="shared" si="59"/>
        <v>0.42280506447899113</v>
      </c>
      <c r="AW108">
        <f t="shared" si="66"/>
        <v>0.46110903359864897</v>
      </c>
      <c r="AY108">
        <f t="shared" si="60"/>
        <v>0.83290328381965972</v>
      </c>
      <c r="AZ108">
        <f t="shared" si="61"/>
        <v>0.81476629486721852</v>
      </c>
      <c r="BA108">
        <f t="shared" si="62"/>
        <v>0.79573318054690834</v>
      </c>
      <c r="BB108">
        <f t="shared" si="63"/>
        <v>0.77618582325459728</v>
      </c>
      <c r="BC108">
        <f t="shared" si="67"/>
        <v>0.87957917109532924</v>
      </c>
    </row>
    <row r="109" spans="1:55" x14ac:dyDescent="0.3">
      <c r="A109">
        <f t="shared" si="68"/>
        <v>99</v>
      </c>
      <c r="C109" s="7">
        <v>9269.9587474743294</v>
      </c>
      <c r="D109" s="7">
        <v>14207.026009938612</v>
      </c>
      <c r="E109" s="7">
        <v>20453.56509745288</v>
      </c>
      <c r="F109" s="7">
        <v>27369.90131227759</v>
      </c>
      <c r="G109" s="7">
        <v>1166.0059474370596</v>
      </c>
      <c r="I109">
        <f t="shared" si="69"/>
        <v>0.10343162089467338</v>
      </c>
      <c r="J109">
        <f t="shared" si="70"/>
        <v>0.11142882196073667</v>
      </c>
      <c r="K109">
        <f t="shared" si="71"/>
        <v>0.11952509994646571</v>
      </c>
      <c r="L109">
        <f t="shared" si="72"/>
        <v>0.1276516604529285</v>
      </c>
      <c r="M109">
        <f t="shared" si="73"/>
        <v>7.9699650421931986E-2</v>
      </c>
      <c r="O109">
        <f t="shared" si="74"/>
        <v>9269.9587474743294</v>
      </c>
      <c r="P109">
        <f t="shared" si="74"/>
        <v>14207.026009938612</v>
      </c>
      <c r="Q109">
        <f t="shared" si="74"/>
        <v>20453.56509745288</v>
      </c>
      <c r="R109">
        <f t="shared" si="74"/>
        <v>27369.90131227759</v>
      </c>
      <c r="S109">
        <f t="shared" si="74"/>
        <v>1166.0059474370596</v>
      </c>
      <c r="U109">
        <f t="shared" si="38"/>
        <v>24730.65979043789</v>
      </c>
      <c r="V109">
        <f t="shared" si="39"/>
        <v>41787.201418496305</v>
      </c>
      <c r="W109">
        <f t="shared" si="40"/>
        <v>66168.056464416266</v>
      </c>
      <c r="X109">
        <f t="shared" si="41"/>
        <v>97085.841664663472</v>
      </c>
      <c r="Y109">
        <f t="shared" si="42"/>
        <v>2222.619021745229</v>
      </c>
      <c r="AA109">
        <f t="shared" si="43"/>
        <v>125989470.6068206</v>
      </c>
      <c r="AB109">
        <f t="shared" si="44"/>
        <v>329789431.99357283</v>
      </c>
      <c r="AC109">
        <f t="shared" si="45"/>
        <v>760766945.97670245</v>
      </c>
      <c r="AD109">
        <f t="shared" si="46"/>
        <v>1512737782.7507491</v>
      </c>
      <c r="AE109">
        <f t="shared" si="47"/>
        <v>1391196.2555109861</v>
      </c>
      <c r="AG109">
        <f t="shared" si="48"/>
        <v>56668.339937874058</v>
      </c>
      <c r="AH109">
        <f t="shared" si="49"/>
        <v>103882.93466679628</v>
      </c>
      <c r="AI109">
        <f t="shared" si="50"/>
        <v>177867.04872437764</v>
      </c>
      <c r="AJ109">
        <f t="shared" si="51"/>
        <v>281167.62367195764</v>
      </c>
      <c r="AK109">
        <f t="shared" si="64"/>
        <v>3785.793897976851</v>
      </c>
      <c r="AM109">
        <f t="shared" si="52"/>
        <v>2.6678284622545863</v>
      </c>
      <c r="AN109">
        <f t="shared" si="53"/>
        <v>2.9413053364767414</v>
      </c>
      <c r="AO109">
        <f t="shared" si="54"/>
        <v>3.2350378112154292</v>
      </c>
      <c r="AP109">
        <f t="shared" si="55"/>
        <v>3.5471754376079065</v>
      </c>
      <c r="AQ109">
        <f t="shared" si="65"/>
        <v>1.9061815478991841</v>
      </c>
      <c r="AS109">
        <f t="shared" si="56"/>
        <v>0.45043287360050099</v>
      </c>
      <c r="AT109">
        <f t="shared" si="57"/>
        <v>0.44449205758483545</v>
      </c>
      <c r="AU109">
        <f t="shared" si="58"/>
        <v>0.43787326733203569</v>
      </c>
      <c r="AV109">
        <f t="shared" si="59"/>
        <v>0.43070873175064361</v>
      </c>
      <c r="AW109">
        <f t="shared" si="66"/>
        <v>0.4631875154278533</v>
      </c>
      <c r="AY109">
        <f t="shared" si="60"/>
        <v>0.84724078107911382</v>
      </c>
      <c r="AZ109">
        <f t="shared" si="61"/>
        <v>0.83090622445547624</v>
      </c>
      <c r="BA109">
        <f t="shared" si="62"/>
        <v>0.81355559496279417</v>
      </c>
      <c r="BB109">
        <f t="shared" si="63"/>
        <v>0.79554338589514439</v>
      </c>
      <c r="BC109">
        <f t="shared" si="67"/>
        <v>0.88720701812077152</v>
      </c>
    </row>
    <row r="110" spans="1:55" x14ac:dyDescent="0.3">
      <c r="A110">
        <f t="shared" si="68"/>
        <v>100</v>
      </c>
      <c r="C110" s="7">
        <v>6735.1725784199125</v>
      </c>
      <c r="D110" s="7">
        <v>10739.911601877817</v>
      </c>
      <c r="E110" s="7">
        <v>16012.78788663249</v>
      </c>
      <c r="F110" s="7">
        <v>22095.307726733281</v>
      </c>
      <c r="G110" s="7">
        <v>714.34364530255687</v>
      </c>
      <c r="I110">
        <f t="shared" si="69"/>
        <v>9.710616746566729E-2</v>
      </c>
      <c r="J110">
        <f t="shared" si="70"/>
        <v>0.10463895477670285</v>
      </c>
      <c r="K110">
        <f t="shared" si="71"/>
        <v>0.1122699027748067</v>
      </c>
      <c r="L110">
        <f t="shared" si="72"/>
        <v>0.11993083413081446</v>
      </c>
      <c r="M110">
        <f t="shared" si="73"/>
        <v>7.5106974760592041E-2</v>
      </c>
      <c r="O110">
        <f t="shared" si="74"/>
        <v>6735.1725784199125</v>
      </c>
      <c r="P110">
        <f t="shared" si="74"/>
        <v>10739.911601877817</v>
      </c>
      <c r="Q110">
        <f t="shared" si="74"/>
        <v>16012.78788663249</v>
      </c>
      <c r="R110">
        <f t="shared" si="74"/>
        <v>22095.307726733281</v>
      </c>
      <c r="S110">
        <f t="shared" si="74"/>
        <v>714.34364530255687</v>
      </c>
      <c r="U110">
        <f t="shared" si="38"/>
        <v>16728.094127490767</v>
      </c>
      <c r="V110">
        <f t="shared" si="39"/>
        <v>29313.73261258809</v>
      </c>
      <c r="W110">
        <f t="shared" si="40"/>
        <v>47934.879972373579</v>
      </c>
      <c r="X110">
        <f t="shared" si="41"/>
        <v>72353.23714515804</v>
      </c>
      <c r="Y110">
        <f t="shared" si="42"/>
        <v>1282.444225375421</v>
      </c>
      <c r="AA110">
        <f t="shared" si="43"/>
        <v>61412985.006804511</v>
      </c>
      <c r="AB110">
        <f t="shared" si="44"/>
        <v>173200267.74839228</v>
      </c>
      <c r="AC110">
        <f t="shared" si="45"/>
        <v>426674845.8003794</v>
      </c>
      <c r="AD110">
        <f t="shared" si="46"/>
        <v>898717611.641433</v>
      </c>
      <c r="AE110">
        <f t="shared" si="47"/>
        <v>490267.70485118934</v>
      </c>
      <c r="AG110">
        <f t="shared" si="48"/>
        <v>36150.195159664261</v>
      </c>
      <c r="AH110">
        <f t="shared" si="49"/>
        <v>68621.393851925808</v>
      </c>
      <c r="AI110">
        <f t="shared" si="50"/>
        <v>121185.64527355107</v>
      </c>
      <c r="AJ110">
        <f t="shared" si="51"/>
        <v>196887.6337325089</v>
      </c>
      <c r="AK110">
        <f t="shared" si="64"/>
        <v>2070.9007995944012</v>
      </c>
      <c r="AM110">
        <f t="shared" si="52"/>
        <v>2.4836919815668952</v>
      </c>
      <c r="AN110">
        <f t="shared" si="53"/>
        <v>2.7294202875434039</v>
      </c>
      <c r="AO110">
        <f t="shared" si="54"/>
        <v>2.9935374346892911</v>
      </c>
      <c r="AP110">
        <f t="shared" si="55"/>
        <v>3.2745973959718744</v>
      </c>
      <c r="AQ110">
        <f t="shared" si="65"/>
        <v>1.7952763124703766</v>
      </c>
      <c r="AS110">
        <f t="shared" si="56"/>
        <v>0.45491401586781066</v>
      </c>
      <c r="AT110">
        <f t="shared" si="57"/>
        <v>0.44985555742004557</v>
      </c>
      <c r="AU110">
        <f t="shared" si="58"/>
        <v>0.4441233326123768</v>
      </c>
      <c r="AV110">
        <f t="shared" si="59"/>
        <v>0.43783315143387358</v>
      </c>
      <c r="AW110">
        <f t="shared" si="66"/>
        <v>0.46483510909791681</v>
      </c>
      <c r="AY110">
        <f t="shared" si="60"/>
        <v>0.86034242962078078</v>
      </c>
      <c r="AZ110">
        <f t="shared" si="61"/>
        <v>0.84577256153032387</v>
      </c>
      <c r="BA110">
        <f t="shared" si="62"/>
        <v>0.83009581883771</v>
      </c>
      <c r="BB110">
        <f t="shared" si="63"/>
        <v>0.81363743886693329</v>
      </c>
      <c r="BC110">
        <f t="shared" si="67"/>
        <v>0.89384098435922454</v>
      </c>
    </row>
    <row r="111" spans="1:55" x14ac:dyDescent="0.3">
      <c r="A111">
        <f t="shared" si="68"/>
        <v>101</v>
      </c>
      <c r="C111" s="7">
        <v>4736.6623816539068</v>
      </c>
      <c r="D111" s="7">
        <v>7872.1858990514384</v>
      </c>
      <c r="E111" s="7">
        <v>12176.840753222674</v>
      </c>
      <c r="F111" s="7">
        <v>17357.226881765149</v>
      </c>
      <c r="G111" s="7">
        <v>421.22663106560844</v>
      </c>
      <c r="I111">
        <f t="shared" si="69"/>
        <v>9.0683225254116331E-2</v>
      </c>
      <c r="J111">
        <f t="shared" si="70"/>
        <v>9.7780204723783848E-2</v>
      </c>
      <c r="K111">
        <f t="shared" si="71"/>
        <v>0.10497306452036786</v>
      </c>
      <c r="L111">
        <f t="shared" si="72"/>
        <v>0.11219519762801002</v>
      </c>
      <c r="M111">
        <f t="shared" si="73"/>
        <v>7.0455420030616653E-2</v>
      </c>
      <c r="O111">
        <f t="shared" si="74"/>
        <v>4736.6623816539068</v>
      </c>
      <c r="P111">
        <f t="shared" si="74"/>
        <v>7872.1858990514384</v>
      </c>
      <c r="Q111">
        <f t="shared" si="74"/>
        <v>12176.840753222674</v>
      </c>
      <c r="R111">
        <f t="shared" si="74"/>
        <v>17357.226881765149</v>
      </c>
      <c r="S111">
        <f t="shared" si="74"/>
        <v>421.22663106560844</v>
      </c>
      <c r="U111">
        <f t="shared" si="38"/>
        <v>10992.176647453856</v>
      </c>
      <c r="V111">
        <f t="shared" si="39"/>
        <v>20007.683862123464</v>
      </c>
      <c r="W111">
        <f t="shared" si="40"/>
        <v>33840.065652445999</v>
      </c>
      <c r="X111">
        <f t="shared" si="41"/>
        <v>52626.969840908823</v>
      </c>
      <c r="Y111">
        <f t="shared" si="42"/>
        <v>714.65908719133847</v>
      </c>
      <c r="AA111">
        <f t="shared" si="43"/>
        <v>28179398.751796726</v>
      </c>
      <c r="AB111">
        <f t="shared" si="44"/>
        <v>85912403.510147125</v>
      </c>
      <c r="AC111">
        <f t="shared" si="45"/>
        <v>226784847.5529508</v>
      </c>
      <c r="AD111">
        <f t="shared" si="46"/>
        <v>507721205.70828694</v>
      </c>
      <c r="AE111">
        <f t="shared" si="47"/>
        <v>160727.94303887291</v>
      </c>
      <c r="AG111">
        <f t="shared" si="48"/>
        <v>22456.602288589118</v>
      </c>
      <c r="AH111">
        <f t="shared" si="49"/>
        <v>44199.662756472222</v>
      </c>
      <c r="AI111">
        <f t="shared" si="50"/>
        <v>80617.834722258776</v>
      </c>
      <c r="AJ111">
        <f t="shared" si="51"/>
        <v>134792.37030988946</v>
      </c>
      <c r="AK111">
        <f t="shared" si="64"/>
        <v>1096.7755611641007</v>
      </c>
      <c r="AM111">
        <f t="shared" si="52"/>
        <v>2.3206586751947693</v>
      </c>
      <c r="AN111">
        <f t="shared" si="53"/>
        <v>2.5415664872109152</v>
      </c>
      <c r="AO111">
        <f t="shared" si="54"/>
        <v>2.7790513433042987</v>
      </c>
      <c r="AP111">
        <f t="shared" si="55"/>
        <v>3.031991815247673</v>
      </c>
      <c r="AQ111">
        <f t="shared" si="65"/>
        <v>1.696614208326316</v>
      </c>
      <c r="AS111">
        <f t="shared" si="56"/>
        <v>0.45877781129383066</v>
      </c>
      <c r="AT111">
        <f t="shared" si="57"/>
        <v>0.45453899123809061</v>
      </c>
      <c r="AU111">
        <f t="shared" si="58"/>
        <v>0.44963829073188344</v>
      </c>
      <c r="AV111">
        <f t="shared" si="59"/>
        <v>0.44417689305465768</v>
      </c>
      <c r="AW111">
        <f t="shared" si="66"/>
        <v>0.46607943881099223</v>
      </c>
      <c r="AY111">
        <f t="shared" si="60"/>
        <v>0.87216655804019483</v>
      </c>
      <c r="AZ111">
        <f t="shared" si="61"/>
        <v>0.85930424610494671</v>
      </c>
      <c r="BA111">
        <f t="shared" si="62"/>
        <v>0.84527136991238605</v>
      </c>
      <c r="BB111">
        <f t="shared" si="63"/>
        <v>0.8303630547732701</v>
      </c>
      <c r="BC111">
        <f t="shared" si="67"/>
        <v>0.89950719373870192</v>
      </c>
    </row>
    <row r="112" spans="1:55" x14ac:dyDescent="0.3">
      <c r="A112">
        <f t="shared" si="68"/>
        <v>102</v>
      </c>
      <c r="C112" s="7">
        <v>3221.6977371375747</v>
      </c>
      <c r="D112" s="7">
        <v>5588.9785721749549</v>
      </c>
      <c r="E112" s="7">
        <v>8983.3597099685121</v>
      </c>
      <c r="F112" s="7">
        <v>13249.980963924083</v>
      </c>
      <c r="G112" s="7">
        <v>238.98994818827674</v>
      </c>
      <c r="I112">
        <f t="shared" si="69"/>
        <v>8.4239832097941933E-2</v>
      </c>
      <c r="J112">
        <f t="shared" si="70"/>
        <v>9.0927909514265742E-2</v>
      </c>
      <c r="K112">
        <f t="shared" si="71"/>
        <v>9.7708345787930681E-2</v>
      </c>
      <c r="L112">
        <f t="shared" si="72"/>
        <v>0.1045169707023916</v>
      </c>
      <c r="M112">
        <f t="shared" si="73"/>
        <v>6.5786128532766761E-2</v>
      </c>
      <c r="O112">
        <f t="shared" si="74"/>
        <v>3221.6977371375747</v>
      </c>
      <c r="P112">
        <f t="shared" si="74"/>
        <v>5588.9785721749549</v>
      </c>
      <c r="Q112">
        <f t="shared" si="74"/>
        <v>8983.3597099685121</v>
      </c>
      <c r="R112">
        <f t="shared" si="74"/>
        <v>13249.980963924083</v>
      </c>
      <c r="S112">
        <f t="shared" si="74"/>
        <v>238.98994818827674</v>
      </c>
      <c r="U112">
        <f t="shared" si="38"/>
        <v>7012.996588058114</v>
      </c>
      <c r="V112">
        <f t="shared" si="39"/>
        <v>13277.101626510266</v>
      </c>
      <c r="W112">
        <f t="shared" si="40"/>
        <v>23259.965420850403</v>
      </c>
      <c r="X112">
        <f t="shared" si="41"/>
        <v>37323.365918064206</v>
      </c>
      <c r="Y112">
        <f t="shared" si="42"/>
        <v>384.55079756439591</v>
      </c>
      <c r="AA112">
        <f t="shared" si="43"/>
        <v>12154264.983859496</v>
      </c>
      <c r="AB112">
        <f t="shared" si="44"/>
        <v>40177246.638336644</v>
      </c>
      <c r="AC112">
        <f t="shared" si="45"/>
        <v>113996466.54453972</v>
      </c>
      <c r="AD112">
        <f t="shared" si="46"/>
        <v>272115123.59517998</v>
      </c>
      <c r="AE112">
        <f t="shared" si="47"/>
        <v>48988.942776269731</v>
      </c>
      <c r="AG112">
        <f t="shared" si="48"/>
        <v>13580.262724542828</v>
      </c>
      <c r="AH112">
        <f t="shared" si="49"/>
        <v>27747.537289395063</v>
      </c>
      <c r="AI112">
        <f t="shared" si="50"/>
        <v>52333.942605881755</v>
      </c>
      <c r="AJ112">
        <f t="shared" si="51"/>
        <v>90159.472923556357</v>
      </c>
      <c r="AK112">
        <f t="shared" si="64"/>
        <v>562.35700902601116</v>
      </c>
      <c r="AM112">
        <f t="shared" si="52"/>
        <v>2.1768015376541952</v>
      </c>
      <c r="AN112">
        <f t="shared" si="53"/>
        <v>2.3755864251495016</v>
      </c>
      <c r="AO112">
        <f t="shared" si="54"/>
        <v>2.5892278804153479</v>
      </c>
      <c r="AP112">
        <f t="shared" si="55"/>
        <v>2.8168618520800206</v>
      </c>
      <c r="AQ112">
        <f t="shared" si="65"/>
        <v>1.6090668267832171</v>
      </c>
      <c r="AS112">
        <f t="shared" si="56"/>
        <v>0.46205202031861015</v>
      </c>
      <c r="AT112">
        <f t="shared" si="57"/>
        <v>0.45856734306622471</v>
      </c>
      <c r="AU112">
        <f t="shared" si="58"/>
        <v>0.45443872540477526</v>
      </c>
      <c r="AV112">
        <f t="shared" si="59"/>
        <v>0.44975434395905212</v>
      </c>
      <c r="AW112">
        <f t="shared" si="66"/>
        <v>0.4669539670454651</v>
      </c>
      <c r="AY112">
        <f t="shared" si="60"/>
        <v>0.88270202292967903</v>
      </c>
      <c r="AZ112">
        <f t="shared" si="61"/>
        <v>0.87147217728899062</v>
      </c>
      <c r="BA112">
        <f t="shared" si="62"/>
        <v>0.85903278321913701</v>
      </c>
      <c r="BB112">
        <f t="shared" si="63"/>
        <v>0.84564884262146867</v>
      </c>
      <c r="BC112">
        <f t="shared" si="67"/>
        <v>0.90424938405404587</v>
      </c>
    </row>
    <row r="113" spans="1:55" x14ac:dyDescent="0.3">
      <c r="A113">
        <f t="shared" si="68"/>
        <v>103</v>
      </c>
      <c r="C113" s="7">
        <v>2118.2903715949328</v>
      </c>
      <c r="D113" s="7">
        <v>3840.6859822705874</v>
      </c>
      <c r="E113" s="7">
        <v>6423.6886826543041</v>
      </c>
      <c r="F113" s="7">
        <v>9818.1706725351742</v>
      </c>
      <c r="G113" s="7">
        <v>130.46878340677262</v>
      </c>
      <c r="I113">
        <f t="shared" si="69"/>
        <v>7.7853667267082677E-2</v>
      </c>
      <c r="J113">
        <f t="shared" si="70"/>
        <v>8.4158076120466399E-2</v>
      </c>
      <c r="K113">
        <f t="shared" si="71"/>
        <v>9.0550245271809812E-2</v>
      </c>
      <c r="L113">
        <f t="shared" si="72"/>
        <v>9.696919284017988E-2</v>
      </c>
      <c r="M113">
        <f t="shared" si="73"/>
        <v>6.1141069461635937E-2</v>
      </c>
      <c r="O113">
        <f t="shared" si="74"/>
        <v>2118.2903715949328</v>
      </c>
      <c r="P113">
        <f t="shared" si="74"/>
        <v>3840.6859822705874</v>
      </c>
      <c r="Q113">
        <f t="shared" si="74"/>
        <v>6423.6886826543041</v>
      </c>
      <c r="R113">
        <f t="shared" si="74"/>
        <v>9818.1706725351742</v>
      </c>
      <c r="S113">
        <f t="shared" si="74"/>
        <v>130.46878340677262</v>
      </c>
      <c r="U113">
        <f t="shared" si="38"/>
        <v>4343.0025336918607</v>
      </c>
      <c r="V113">
        <f t="shared" si="39"/>
        <v>8562.2693492874951</v>
      </c>
      <c r="W113">
        <f t="shared" si="40"/>
        <v>15556.441224538996</v>
      </c>
      <c r="X113">
        <f t="shared" si="41"/>
        <v>25789.290099834579</v>
      </c>
      <c r="Y113">
        <f t="shared" si="42"/>
        <v>199.8214317668712</v>
      </c>
      <c r="AA113">
        <f t="shared" si="43"/>
        <v>4923937.7489805389</v>
      </c>
      <c r="AB113">
        <f t="shared" si="44"/>
        <v>17692892.654335439</v>
      </c>
      <c r="AC113">
        <f t="shared" si="45"/>
        <v>54106188.52071175</v>
      </c>
      <c r="AD113">
        <f t="shared" si="46"/>
        <v>138098775.12483692</v>
      </c>
      <c r="AE113">
        <f t="shared" si="47"/>
        <v>13882.600587852856</v>
      </c>
      <c r="AG113">
        <f t="shared" si="48"/>
        <v>7994.213777463061</v>
      </c>
      <c r="AH113">
        <f t="shared" si="49"/>
        <v>16973.542850654881</v>
      </c>
      <c r="AI113">
        <f t="shared" si="50"/>
        <v>33139.045202129906</v>
      </c>
      <c r="AJ113">
        <f t="shared" si="51"/>
        <v>58889.129105556043</v>
      </c>
      <c r="AK113">
        <f t="shared" si="64"/>
        <v>279.21432475883631</v>
      </c>
      <c r="AM113">
        <f t="shared" si="52"/>
        <v>2.0502394723259147</v>
      </c>
      <c r="AN113">
        <f t="shared" si="53"/>
        <v>2.2293593875710558</v>
      </c>
      <c r="AO113">
        <f t="shared" si="54"/>
        <v>2.4217302539186858</v>
      </c>
      <c r="AP113">
        <f t="shared" si="55"/>
        <v>2.6266899364436758</v>
      </c>
      <c r="AQ113">
        <f t="shared" si="65"/>
        <v>1.5315650728793297</v>
      </c>
      <c r="AS113">
        <f t="shared" si="56"/>
        <v>0.46477427540015215</v>
      </c>
      <c r="AT113">
        <f t="shared" si="57"/>
        <v>0.46197660992593648</v>
      </c>
      <c r="AU113">
        <f t="shared" si="58"/>
        <v>0.4585576727047227</v>
      </c>
      <c r="AV113">
        <f t="shared" si="59"/>
        <v>0.45459406219174958</v>
      </c>
      <c r="AW113">
        <f t="shared" si="66"/>
        <v>0.46749688856835114</v>
      </c>
      <c r="AY113">
        <f t="shared" si="60"/>
        <v>0.89196756294632262</v>
      </c>
      <c r="AZ113">
        <f t="shared" si="61"/>
        <v>0.88227925950091146</v>
      </c>
      <c r="BA113">
        <f t="shared" si="62"/>
        <v>0.87136442221112742</v>
      </c>
      <c r="BB113">
        <f t="shared" si="63"/>
        <v>0.85945859436546967</v>
      </c>
      <c r="BC113">
        <f t="shared" si="67"/>
        <v>0.90812693675291167</v>
      </c>
    </row>
    <row r="114" spans="1:55" x14ac:dyDescent="0.3">
      <c r="A114">
        <f t="shared" si="68"/>
        <v>104</v>
      </c>
      <c r="C114" s="7">
        <v>1346.302398912386</v>
      </c>
      <c r="D114" s="7">
        <v>2553.7614333751262</v>
      </c>
      <c r="E114" s="7">
        <v>4449.6471465225286</v>
      </c>
      <c r="F114" s="7">
        <v>7056.5050965473965</v>
      </c>
      <c r="G114" s="7">
        <v>68.558253255015757</v>
      </c>
      <c r="I114">
        <f t="shared" si="69"/>
        <v>7.1599352279585984E-2</v>
      </c>
      <c r="J114">
        <f t="shared" si="70"/>
        <v>7.7543687968004316E-2</v>
      </c>
      <c r="K114">
        <f t="shared" si="71"/>
        <v>8.3570305500158218E-2</v>
      </c>
      <c r="L114">
        <f t="shared" si="72"/>
        <v>8.9622025087976717E-2</v>
      </c>
      <c r="M114">
        <f t="shared" si="73"/>
        <v>5.6561498857411525E-2</v>
      </c>
      <c r="O114">
        <f t="shared" si="74"/>
        <v>1346.302398912386</v>
      </c>
      <c r="P114">
        <f t="shared" si="74"/>
        <v>2553.7614333751262</v>
      </c>
      <c r="Q114">
        <f t="shared" si="74"/>
        <v>4449.6471465225286</v>
      </c>
      <c r="R114">
        <f t="shared" si="74"/>
        <v>7056.5050965473965</v>
      </c>
      <c r="S114">
        <f t="shared" si="74"/>
        <v>68.558253255015757</v>
      </c>
      <c r="U114">
        <f t="shared" si="38"/>
        <v>2610.7061484382007</v>
      </c>
      <c r="V114">
        <f t="shared" si="39"/>
        <v>5365.0456414646387</v>
      </c>
      <c r="W114">
        <f t="shared" si="40"/>
        <v>10119.773309950579</v>
      </c>
      <c r="X114">
        <f t="shared" si="41"/>
        <v>17351.952215293291</v>
      </c>
      <c r="Y114">
        <f t="shared" si="42"/>
        <v>100.30791343597701</v>
      </c>
      <c r="AA114">
        <f t="shared" si="43"/>
        <v>1873423.1967871021</v>
      </c>
      <c r="AB114">
        <f t="shared" si="44"/>
        <v>7332638.65025842</v>
      </c>
      <c r="AC114">
        <f t="shared" si="45"/>
        <v>24224093.841665469</v>
      </c>
      <c r="AD114">
        <f t="shared" si="46"/>
        <v>66274538.150788337</v>
      </c>
      <c r="AE114">
        <f t="shared" si="47"/>
        <v>3660.2507786203432</v>
      </c>
      <c r="AG114">
        <f t="shared" si="48"/>
        <v>4581.6917674549095</v>
      </c>
      <c r="AH114">
        <f t="shared" si="49"/>
        <v>10117.129067686768</v>
      </c>
      <c r="AI114">
        <f t="shared" si="50"/>
        <v>20465.441396229431</v>
      </c>
      <c r="AJ114">
        <f t="shared" si="51"/>
        <v>37548.646745991093</v>
      </c>
      <c r="AK114">
        <f t="shared" si="64"/>
        <v>134.30886300339196</v>
      </c>
      <c r="AM114">
        <f t="shared" si="52"/>
        <v>1.9391677163668923</v>
      </c>
      <c r="AN114">
        <f t="shared" si="53"/>
        <v>2.1008405763157119</v>
      </c>
      <c r="AO114">
        <f t="shared" si="54"/>
        <v>2.2742866966112909</v>
      </c>
      <c r="AP114">
        <f t="shared" si="55"/>
        <v>2.4590008761962414</v>
      </c>
      <c r="AQ114">
        <f t="shared" si="65"/>
        <v>1.4631048586209194</v>
      </c>
      <c r="AS114">
        <f t="shared" si="56"/>
        <v>0.46699009241711131</v>
      </c>
      <c r="AT114">
        <f t="shared" si="57"/>
        <v>0.46481178854955563</v>
      </c>
      <c r="AU114">
        <f t="shared" si="58"/>
        <v>0.46203851594746304</v>
      </c>
      <c r="AV114">
        <f t="shared" si="59"/>
        <v>0.45873654254974439</v>
      </c>
      <c r="AW114">
        <f t="shared" si="66"/>
        <v>0.46774971677445565</v>
      </c>
      <c r="AY114">
        <f t="shared" si="60"/>
        <v>0.90000908841199989</v>
      </c>
      <c r="AZ114">
        <f t="shared" si="61"/>
        <v>0.89175824881208654</v>
      </c>
      <c r="BA114">
        <f t="shared" si="62"/>
        <v>0.88228295074336649</v>
      </c>
      <c r="BB114">
        <f t="shared" si="63"/>
        <v>0.87179045949275069</v>
      </c>
      <c r="BC114">
        <f t="shared" si="67"/>
        <v>0.91121201220252679</v>
      </c>
    </row>
    <row r="115" spans="1:55" x14ac:dyDescent="0.3">
      <c r="A115">
        <f t="shared" si="68"/>
        <v>105</v>
      </c>
      <c r="C115" s="7">
        <v>827.34969294245798</v>
      </c>
      <c r="D115" s="7">
        <v>1643.0925047822836</v>
      </c>
      <c r="E115" s="7">
        <v>2985.1623801154874</v>
      </c>
      <c r="F115" s="7">
        <v>4916.9932012130666</v>
      </c>
      <c r="G115" s="7">
        <v>34.701751032014442</v>
      </c>
      <c r="I115">
        <f t="shared" si="69"/>
        <v>6.5545034811301764E-2</v>
      </c>
      <c r="J115">
        <f t="shared" si="70"/>
        <v>7.1151300752924182E-2</v>
      </c>
      <c r="K115">
        <f t="shared" si="71"/>
        <v>7.6833709068155273E-2</v>
      </c>
      <c r="L115">
        <f t="shared" si="72"/>
        <v>8.2539343140759322E-2</v>
      </c>
      <c r="M115">
        <f t="shared" si="73"/>
        <v>5.2086475715401433E-2</v>
      </c>
      <c r="O115">
        <f t="shared" si="74"/>
        <v>827.34969294245798</v>
      </c>
      <c r="P115">
        <f t="shared" si="74"/>
        <v>1643.0925047822836</v>
      </c>
      <c r="Q115">
        <f t="shared" si="74"/>
        <v>2985.1623801154874</v>
      </c>
      <c r="R115">
        <f t="shared" si="74"/>
        <v>4916.9932012130666</v>
      </c>
      <c r="S115">
        <f t="shared" si="74"/>
        <v>34.701751032014442</v>
      </c>
      <c r="U115">
        <f t="shared" si="38"/>
        <v>1523.8801025107787</v>
      </c>
      <c r="V115">
        <f t="shared" si="39"/>
        <v>3266.6186723859332</v>
      </c>
      <c r="W115">
        <f t="shared" si="40"/>
        <v>6402.368546631571</v>
      </c>
      <c r="X115">
        <f t="shared" si="41"/>
        <v>11365.20306641306</v>
      </c>
      <c r="Y115">
        <f t="shared" si="42"/>
        <v>48.677911292461907</v>
      </c>
      <c r="AA115">
        <f t="shared" si="43"/>
        <v>669789.68342807493</v>
      </c>
      <c r="AB115">
        <f t="shared" si="44"/>
        <v>2860133.0809095437</v>
      </c>
      <c r="AC115">
        <f t="shared" si="45"/>
        <v>10226269.364732094</v>
      </c>
      <c r="AD115">
        <f t="shared" si="46"/>
        <v>30051913.516647063</v>
      </c>
      <c r="AE115">
        <f t="shared" si="47"/>
        <v>899.07176204962866</v>
      </c>
      <c r="AG115">
        <f t="shared" si="48"/>
        <v>2557.6447008112468</v>
      </c>
      <c r="AH115">
        <f t="shared" si="49"/>
        <v>5877.1859881442206</v>
      </c>
      <c r="AI115">
        <f t="shared" si="50"/>
        <v>12326.410865138943</v>
      </c>
      <c r="AJ115">
        <f t="shared" si="51"/>
        <v>23368.361763082445</v>
      </c>
      <c r="AK115">
        <f t="shared" si="64"/>
        <v>62.637325824422625</v>
      </c>
      <c r="AM115">
        <f t="shared" si="52"/>
        <v>1.8418815109377991</v>
      </c>
      <c r="AN115">
        <f t="shared" si="53"/>
        <v>1.9880917616496421</v>
      </c>
      <c r="AO115">
        <f t="shared" si="54"/>
        <v>2.1447304137552079</v>
      </c>
      <c r="AP115">
        <f t="shared" si="55"/>
        <v>2.3114132156231499</v>
      </c>
      <c r="AQ115">
        <f t="shared" si="65"/>
        <v>1.4027508654405831</v>
      </c>
      <c r="AS115">
        <f t="shared" si="56"/>
        <v>0.46875048639192207</v>
      </c>
      <c r="AT115">
        <f t="shared" si="57"/>
        <v>0.46712445922451251</v>
      </c>
      <c r="AU115">
        <f t="shared" si="58"/>
        <v>0.46493246900973251</v>
      </c>
      <c r="AV115">
        <f t="shared" si="59"/>
        <v>0.4622315457256192</v>
      </c>
      <c r="AW115">
        <f t="shared" si="66"/>
        <v>0.46775568291185055</v>
      </c>
      <c r="AY115">
        <f t="shared" si="60"/>
        <v>0.90689515056246661</v>
      </c>
      <c r="AZ115">
        <f t="shared" si="61"/>
        <v>0.89996756019425461</v>
      </c>
      <c r="BA115">
        <f t="shared" si="62"/>
        <v>0.89183354221272504</v>
      </c>
      <c r="BB115">
        <f t="shared" si="63"/>
        <v>0.88267363499853413</v>
      </c>
      <c r="BC115">
        <f t="shared" si="67"/>
        <v>0.91358602864868554</v>
      </c>
    </row>
    <row r="116" spans="1:55" x14ac:dyDescent="0.3">
      <c r="A116">
        <f t="shared" si="68"/>
        <v>106</v>
      </c>
      <c r="C116" s="7">
        <v>491.93935340653093</v>
      </c>
      <c r="D116" s="7">
        <v>1023.3411586209816</v>
      </c>
      <c r="E116" s="7">
        <v>1939.8385062968978</v>
      </c>
      <c r="F116" s="7">
        <v>3321.3184361486733</v>
      </c>
      <c r="G116" s="7">
        <v>16.936842330980976</v>
      </c>
      <c r="I116">
        <f t="shared" si="69"/>
        <v>5.9749588193528359E-2</v>
      </c>
      <c r="J116">
        <f t="shared" si="70"/>
        <v>6.5038257071192027E-2</v>
      </c>
      <c r="K116">
        <f t="shared" si="71"/>
        <v>7.0396494839157331E-2</v>
      </c>
      <c r="L116">
        <f t="shared" si="72"/>
        <v>7.5775950937307657E-2</v>
      </c>
      <c r="M116">
        <f t="shared" si="73"/>
        <v>4.7751544686601824E-2</v>
      </c>
      <c r="O116">
        <f t="shared" si="74"/>
        <v>491.93935340653093</v>
      </c>
      <c r="P116">
        <f t="shared" si="74"/>
        <v>1023.3411586209816</v>
      </c>
      <c r="Q116">
        <f t="shared" si="74"/>
        <v>1939.8385062968978</v>
      </c>
      <c r="R116">
        <f t="shared" si="74"/>
        <v>3321.3184361486733</v>
      </c>
      <c r="S116">
        <f t="shared" si="74"/>
        <v>16.936842330980976</v>
      </c>
      <c r="U116">
        <f t="shared" si="38"/>
        <v>864.2355793362841</v>
      </c>
      <c r="V116">
        <f t="shared" si="39"/>
        <v>1933.4018406843006</v>
      </c>
      <c r="W116">
        <f t="shared" si="40"/>
        <v>3939.8681034253786</v>
      </c>
      <c r="X116">
        <f t="shared" si="41"/>
        <v>7246.0472477321891</v>
      </c>
      <c r="Y116">
        <f t="shared" si="42"/>
        <v>22.858614610964199</v>
      </c>
      <c r="AA116">
        <f t="shared" si="43"/>
        <v>225283.77848500165</v>
      </c>
      <c r="AB116">
        <f t="shared" si="44"/>
        <v>1050658.3163212752</v>
      </c>
      <c r="AC116">
        <f t="shared" si="45"/>
        <v>4071302.4318434745</v>
      </c>
      <c r="AD116">
        <f t="shared" si="46"/>
        <v>12872287.361752655</v>
      </c>
      <c r="AE116">
        <f t="shared" si="47"/>
        <v>206.13634915942549</v>
      </c>
      <c r="AG116">
        <f t="shared" si="48"/>
        <v>1391.5377215157093</v>
      </c>
      <c r="AH116">
        <f t="shared" si="49"/>
        <v>3328.8216771225448</v>
      </c>
      <c r="AI116">
        <f t="shared" si="50"/>
        <v>7242.402862928684</v>
      </c>
      <c r="AJ116">
        <f t="shared" si="51"/>
        <v>14195.709503098522</v>
      </c>
      <c r="AK116">
        <f t="shared" si="64"/>
        <v>28.349471931129031</v>
      </c>
      <c r="AM116">
        <f t="shared" si="52"/>
        <v>1.7567929326078808</v>
      </c>
      <c r="AN116">
        <f t="shared" si="53"/>
        <v>1.889303312386736</v>
      </c>
      <c r="AO116">
        <f t="shared" si="54"/>
        <v>2.0310289184569732</v>
      </c>
      <c r="AP116">
        <f t="shared" si="55"/>
        <v>2.1816779652524207</v>
      </c>
      <c r="AQ116">
        <f t="shared" si="65"/>
        <v>1.3496385078315973</v>
      </c>
      <c r="AS116">
        <f t="shared" si="56"/>
        <v>0.47010940176232996</v>
      </c>
      <c r="AT116">
        <f t="shared" si="57"/>
        <v>0.46897015137681541</v>
      </c>
      <c r="AU116">
        <f t="shared" si="58"/>
        <v>0.46729581868750847</v>
      </c>
      <c r="AV116">
        <f t="shared" si="59"/>
        <v>0.46513516153879353</v>
      </c>
      <c r="AW116">
        <f t="shared" si="66"/>
        <v>0.46755809348327182</v>
      </c>
      <c r="AY116">
        <f t="shared" si="60"/>
        <v>0.91271098938743167</v>
      </c>
      <c r="AZ116">
        <f t="shared" si="61"/>
        <v>0.90698535791355706</v>
      </c>
      <c r="BA116">
        <f t="shared" si="62"/>
        <v>0.90008407033991289</v>
      </c>
      <c r="BB116">
        <f t="shared" si="63"/>
        <v>0.89216273472357532</v>
      </c>
      <c r="BC116">
        <f t="shared" si="67"/>
        <v>0.91533577984553804</v>
      </c>
    </row>
    <row r="117" spans="1:55" x14ac:dyDescent="0.3">
      <c r="A117">
        <f t="shared" si="68"/>
        <v>107</v>
      </c>
      <c r="C117" s="7">
        <v>283.29097831188454</v>
      </c>
      <c r="D117" s="7">
        <v>617.39027708388016</v>
      </c>
      <c r="E117" s="7">
        <v>1221.5461103049872</v>
      </c>
      <c r="F117" s="7">
        <v>2175.2453486357454</v>
      </c>
      <c r="G117" s="7">
        <v>7.981363729817696</v>
      </c>
      <c r="I117">
        <f t="shared" si="69"/>
        <v>5.4260658409584953E-2</v>
      </c>
      <c r="J117">
        <f t="shared" si="70"/>
        <v>5.9250749098628222E-2</v>
      </c>
      <c r="K117">
        <f t="shared" si="71"/>
        <v>6.4303622529993984E-2</v>
      </c>
      <c r="L117">
        <f t="shared" si="72"/>
        <v>6.9375642917978167E-2</v>
      </c>
      <c r="M117">
        <f t="shared" si="73"/>
        <v>4.3587674732639151E-2</v>
      </c>
      <c r="O117">
        <f t="shared" si="74"/>
        <v>283.29097831188454</v>
      </c>
      <c r="P117">
        <f t="shared" si="74"/>
        <v>617.39027708388016</v>
      </c>
      <c r="Q117">
        <f t="shared" si="74"/>
        <v>1221.5461103049872</v>
      </c>
      <c r="R117">
        <f t="shared" si="74"/>
        <v>2175.2453486357454</v>
      </c>
      <c r="S117">
        <f t="shared" si="74"/>
        <v>7.981363729817696</v>
      </c>
      <c r="U117">
        <f t="shared" si="38"/>
        <v>476.62041347707634</v>
      </c>
      <c r="V117">
        <f t="shared" si="39"/>
        <v>1113.0361228318698</v>
      </c>
      <c r="W117">
        <f t="shared" si="40"/>
        <v>2359.1757951244363</v>
      </c>
      <c r="X117">
        <f t="shared" si="41"/>
        <v>4497.7653553399805</v>
      </c>
      <c r="Y117">
        <f t="shared" si="42"/>
        <v>10.399511580564864</v>
      </c>
      <c r="AA117">
        <f t="shared" si="43"/>
        <v>71410.416311804176</v>
      </c>
      <c r="AB117">
        <f t="shared" si="44"/>
        <v>363925.395442012</v>
      </c>
      <c r="AC117">
        <f t="shared" si="45"/>
        <v>1529718.9278100631</v>
      </c>
      <c r="AD117">
        <f t="shared" si="46"/>
        <v>5209777.0415416341</v>
      </c>
      <c r="AE117">
        <f t="shared" si="47"/>
        <v>44.223717755995111</v>
      </c>
      <c r="AG117">
        <f t="shared" si="48"/>
        <v>738.49708970024972</v>
      </c>
      <c r="AH117">
        <f t="shared" si="49"/>
        <v>1839.4319354925515</v>
      </c>
      <c r="AI117">
        <f t="shared" si="50"/>
        <v>4152.7386133197688</v>
      </c>
      <c r="AJ117">
        <f t="shared" si="51"/>
        <v>8419.3092921885127</v>
      </c>
      <c r="AK117">
        <f t="shared" si="64"/>
        <v>12.466698718794772</v>
      </c>
      <c r="AM117">
        <f t="shared" si="52"/>
        <v>1.6824411999183007</v>
      </c>
      <c r="AN117">
        <f t="shared" si="53"/>
        <v>1.802807987338372</v>
      </c>
      <c r="AO117">
        <f t="shared" si="54"/>
        <v>1.9313031045020588</v>
      </c>
      <c r="AP117">
        <f t="shared" si="55"/>
        <v>2.0677048490924741</v>
      </c>
      <c r="AQ117">
        <f t="shared" si="65"/>
        <v>1.3029742701379683</v>
      </c>
      <c r="AS117">
        <f t="shared" si="56"/>
        <v>0.47112117209248794</v>
      </c>
      <c r="AT117">
        <f t="shared" si="57"/>
        <v>0.47040568125848981</v>
      </c>
      <c r="AU117">
        <f t="shared" si="58"/>
        <v>0.46918709655656177</v>
      </c>
      <c r="AV117">
        <f t="shared" si="59"/>
        <v>0.4675067658830846</v>
      </c>
      <c r="AW117">
        <f t="shared" si="66"/>
        <v>0.46719878853077002</v>
      </c>
      <c r="AY117">
        <f t="shared" si="60"/>
        <v>0.91755155527601007</v>
      </c>
      <c r="AZ117">
        <f t="shared" si="61"/>
        <v>0.91290225960850624</v>
      </c>
      <c r="BA117">
        <f t="shared" si="62"/>
        <v>0.90711754620085783</v>
      </c>
      <c r="BB117">
        <f t="shared" si="63"/>
        <v>0.90033003614213936</v>
      </c>
      <c r="BC117">
        <f t="shared" si="67"/>
        <v>0.91654947174607659</v>
      </c>
    </row>
    <row r="118" spans="1:55" x14ac:dyDescent="0.3">
      <c r="A118">
        <f t="shared" si="68"/>
        <v>108</v>
      </c>
      <c r="C118" s="7">
        <v>158.1938111645334</v>
      </c>
      <c r="D118" s="7">
        <v>361.16276916242327</v>
      </c>
      <c r="E118" s="7">
        <v>745.95751553581931</v>
      </c>
      <c r="F118" s="7">
        <v>1381.9803047780463</v>
      </c>
      <c r="G118" s="7">
        <v>3.6371758413164943</v>
      </c>
      <c r="I118">
        <f t="shared" si="69"/>
        <v>4.9113660652805299E-2</v>
      </c>
      <c r="J118">
        <f t="shared" si="70"/>
        <v>5.3822828882274236E-2</v>
      </c>
      <c r="K118">
        <f t="shared" si="71"/>
        <v>5.8587984471464162E-2</v>
      </c>
      <c r="L118">
        <f t="shared" si="72"/>
        <v>6.3370213491122929E-2</v>
      </c>
      <c r="M118">
        <f t="shared" si="73"/>
        <v>3.9620512198285163E-2</v>
      </c>
      <c r="O118">
        <f t="shared" si="74"/>
        <v>158.1938111645334</v>
      </c>
      <c r="P118">
        <f t="shared" si="74"/>
        <v>361.16276916242327</v>
      </c>
      <c r="Q118">
        <f t="shared" si="74"/>
        <v>745.95751553581931</v>
      </c>
      <c r="R118">
        <f t="shared" si="74"/>
        <v>1381.9803047780463</v>
      </c>
      <c r="S118">
        <f t="shared" si="74"/>
        <v>3.6371758413164943</v>
      </c>
      <c r="U118">
        <f t="shared" si="38"/>
        <v>255.87801873886735</v>
      </c>
      <c r="V118">
        <f t="shared" si="39"/>
        <v>623.75959970871816</v>
      </c>
      <c r="W118">
        <f t="shared" si="40"/>
        <v>1375.4239822040331</v>
      </c>
      <c r="X118">
        <f t="shared" si="41"/>
        <v>2719.1525286330848</v>
      </c>
      <c r="Y118">
        <f t="shared" si="42"/>
        <v>4.5902417949977687</v>
      </c>
      <c r="AA118">
        <f t="shared" si="43"/>
        <v>21379.103041353883</v>
      </c>
      <c r="AB118">
        <f t="shared" si="44"/>
        <v>119062.83471122866</v>
      </c>
      <c r="AC118">
        <f t="shared" si="45"/>
        <v>543102.58909634047</v>
      </c>
      <c r="AD118">
        <f t="shared" si="46"/>
        <v>1993874.3350647935</v>
      </c>
      <c r="AE118">
        <f t="shared" si="47"/>
        <v>8.9034382802756369</v>
      </c>
      <c r="AG118">
        <f t="shared" si="48"/>
        <v>382.67263752122381</v>
      </c>
      <c r="AH118">
        <f t="shared" si="49"/>
        <v>992.38636654904531</v>
      </c>
      <c r="AI118">
        <f t="shared" si="50"/>
        <v>2325.0711075529648</v>
      </c>
      <c r="AJ118">
        <f t="shared" si="51"/>
        <v>4876.9557705234556</v>
      </c>
      <c r="AK118">
        <f t="shared" si="64"/>
        <v>5.3338376883885577</v>
      </c>
      <c r="AM118">
        <f t="shared" si="52"/>
        <v>1.6174970237788573</v>
      </c>
      <c r="AN118">
        <f t="shared" si="53"/>
        <v>1.7270872109970976</v>
      </c>
      <c r="AO118">
        <f t="shared" si="54"/>
        <v>1.8438368855578453</v>
      </c>
      <c r="AP118">
        <f t="shared" si="55"/>
        <v>1.9675769033986312</v>
      </c>
      <c r="AQ118">
        <f t="shared" si="65"/>
        <v>1.2620346101650965</v>
      </c>
      <c r="AS118">
        <f t="shared" si="56"/>
        <v>0.47183816963295877</v>
      </c>
      <c r="AT118">
        <f t="shared" si="57"/>
        <v>0.47148660176828761</v>
      </c>
      <c r="AU118">
        <f t="shared" si="58"/>
        <v>0.47066429792242215</v>
      </c>
      <c r="AV118">
        <f t="shared" si="59"/>
        <v>0.4694059692706668</v>
      </c>
      <c r="AW118">
        <f t="shared" si="66"/>
        <v>0.46671681304920209</v>
      </c>
      <c r="AY118">
        <f t="shared" si="60"/>
        <v>0.92151366978408022</v>
      </c>
      <c r="AZ118">
        <f t="shared" si="61"/>
        <v>0.91781276424387037</v>
      </c>
      <c r="BA118">
        <f t="shared" si="62"/>
        <v>0.91302285794570603</v>
      </c>
      <c r="BB118">
        <f t="shared" si="63"/>
        <v>0.90725561152141121</v>
      </c>
      <c r="BC118">
        <f t="shared" si="67"/>
        <v>0.91731284533413993</v>
      </c>
    </row>
    <row r="119" spans="1:55" x14ac:dyDescent="0.3">
      <c r="A119">
        <f t="shared" si="68"/>
        <v>109</v>
      </c>
      <c r="C119" s="7">
        <v>85.784358075901991</v>
      </c>
      <c r="D119" s="7">
        <v>205.1019247198314</v>
      </c>
      <c r="E119" s="7">
        <v>442.17493351606493</v>
      </c>
      <c r="F119" s="7">
        <v>852.32860525345507</v>
      </c>
      <c r="G119" s="7">
        <v>1.6056727503048822</v>
      </c>
      <c r="I119">
        <f t="shared" si="69"/>
        <v>4.4331697410531175E-2</v>
      </c>
      <c r="J119">
        <f t="shared" si="70"/>
        <v>4.8776336328117315E-2</v>
      </c>
      <c r="K119">
        <f t="shared" si="71"/>
        <v>5.3270334048495446E-2</v>
      </c>
      <c r="L119">
        <f t="shared" si="72"/>
        <v>5.7779383026075978E-2</v>
      </c>
      <c r="M119">
        <f t="shared" si="73"/>
        <v>3.5869971551027162E-2</v>
      </c>
      <c r="O119">
        <f t="shared" si="74"/>
        <v>85.784358075901991</v>
      </c>
      <c r="P119">
        <f t="shared" si="74"/>
        <v>205.1019247198314</v>
      </c>
      <c r="Q119">
        <f t="shared" si="74"/>
        <v>442.17493351606493</v>
      </c>
      <c r="R119">
        <f t="shared" si="74"/>
        <v>852.32860525345507</v>
      </c>
      <c r="S119">
        <f t="shared" si="74"/>
        <v>1.6056727503048822</v>
      </c>
      <c r="U119">
        <f t="shared" si="38"/>
        <v>133.88893411864964</v>
      </c>
      <c r="V119">
        <f t="shared" si="39"/>
        <v>340.62725276759079</v>
      </c>
      <c r="W119">
        <f t="shared" si="40"/>
        <v>781.35775767809105</v>
      </c>
      <c r="X119">
        <f t="shared" si="41"/>
        <v>1601.9980736173343</v>
      </c>
      <c r="Y119">
        <f t="shared" si="42"/>
        <v>1.9688174991870808</v>
      </c>
      <c r="AA119">
        <f t="shared" si="43"/>
        <v>6060.8388668256921</v>
      </c>
      <c r="AB119">
        <f t="shared" si="44"/>
        <v>36869.326562826522</v>
      </c>
      <c r="AC119">
        <f t="shared" si="45"/>
        <v>182497.58854561759</v>
      </c>
      <c r="AD119">
        <f t="shared" si="46"/>
        <v>722462.68180248083</v>
      </c>
      <c r="AE119">
        <f t="shared" si="47"/>
        <v>1.6876558742099306</v>
      </c>
      <c r="AG119">
        <f t="shared" si="48"/>
        <v>193.82328218318463</v>
      </c>
      <c r="AH119">
        <f t="shared" si="49"/>
        <v>523.19801068110689</v>
      </c>
      <c r="AI119">
        <f t="shared" si="50"/>
        <v>1271.9954527802151</v>
      </c>
      <c r="AJ119">
        <f t="shared" si="51"/>
        <v>2760.5181110252956</v>
      </c>
      <c r="AK119">
        <f t="shared" si="64"/>
        <v>2.2235999655470997</v>
      </c>
      <c r="AM119">
        <f t="shared" si="52"/>
        <v>1.5607616250993535</v>
      </c>
      <c r="AN119">
        <f t="shared" si="53"/>
        <v>1.6607706301775889</v>
      </c>
      <c r="AO119">
        <f t="shared" si="54"/>
        <v>1.767078363002011</v>
      </c>
      <c r="AP119">
        <f t="shared" si="55"/>
        <v>1.8795545095438297</v>
      </c>
      <c r="AQ119">
        <f t="shared" si="65"/>
        <v>1.2261636119895822</v>
      </c>
      <c r="AS119">
        <f t="shared" si="56"/>
        <v>0.4723086829934231</v>
      </c>
      <c r="AT119">
        <f t="shared" si="57"/>
        <v>0.47226478218849999</v>
      </c>
      <c r="AU119">
        <f t="shared" si="58"/>
        <v>0.47178213847954253</v>
      </c>
      <c r="AV119">
        <f t="shared" si="59"/>
        <v>0.47088951805883661</v>
      </c>
      <c r="AW119">
        <f t="shared" si="66"/>
        <v>0.46614735656821138</v>
      </c>
      <c r="AY119">
        <f t="shared" si="60"/>
        <v>0.92468695858232131</v>
      </c>
      <c r="AZ119">
        <f t="shared" si="61"/>
        <v>0.92180498331963101</v>
      </c>
      <c r="BA119">
        <f t="shared" si="62"/>
        <v>0.91788334990454745</v>
      </c>
      <c r="BB119">
        <f t="shared" si="63"/>
        <v>0.91301485268262517</v>
      </c>
      <c r="BC119">
        <f t="shared" si="67"/>
        <v>0.9177052893280383</v>
      </c>
    </row>
    <row r="120" spans="1:55" x14ac:dyDescent="0.3">
      <c r="A120">
        <f t="shared" si="68"/>
        <v>110</v>
      </c>
      <c r="C120" s="7">
        <v>45.245887372117132</v>
      </c>
      <c r="D120" s="7">
        <v>113.22788716898179</v>
      </c>
      <c r="E120" s="7">
        <v>254.71078600830569</v>
      </c>
      <c r="F120" s="7">
        <v>510.77246172533472</v>
      </c>
      <c r="G120" s="7">
        <v>0.68798803065094438</v>
      </c>
      <c r="I120">
        <f t="shared" si="69"/>
        <v>3.9926264634011589E-2</v>
      </c>
      <c r="J120">
        <f t="shared" si="70"/>
        <v>4.4121610438719948E-2</v>
      </c>
      <c r="K120">
        <f t="shared" si="71"/>
        <v>4.8359996059280159E-2</v>
      </c>
      <c r="L120">
        <f t="shared" si="72"/>
        <v>5.2611505507323429E-2</v>
      </c>
      <c r="M120">
        <f t="shared" si="73"/>
        <v>3.2350153213097296E-2</v>
      </c>
      <c r="O120">
        <f t="shared" si="74"/>
        <v>45.245887372117132</v>
      </c>
      <c r="P120">
        <f t="shared" si="74"/>
        <v>113.22788716898179</v>
      </c>
      <c r="Q120">
        <f t="shared" si="74"/>
        <v>254.71078600830569</v>
      </c>
      <c r="R120">
        <f t="shared" si="74"/>
        <v>510.77246172533472</v>
      </c>
      <c r="S120">
        <f t="shared" si="74"/>
        <v>0.68798803065094438</v>
      </c>
      <c r="U120">
        <f t="shared" si="38"/>
        <v>68.373811394640086</v>
      </c>
      <c r="V120">
        <f t="shared" si="39"/>
        <v>181.46234682318416</v>
      </c>
      <c r="W120">
        <f t="shared" si="40"/>
        <v>432.91489791590578</v>
      </c>
      <c r="X120">
        <f t="shared" si="41"/>
        <v>920.44754012793942</v>
      </c>
      <c r="Y120">
        <f t="shared" si="42"/>
        <v>0.82198710870916769</v>
      </c>
      <c r="AA120">
        <f t="shared" si="43"/>
        <v>1631.6602607001892</v>
      </c>
      <c r="AB120">
        <f t="shared" si="44"/>
        <v>10832.456047210148</v>
      </c>
      <c r="AC120">
        <f t="shared" si="45"/>
        <v>58156.594809633447</v>
      </c>
      <c r="AD120">
        <f t="shared" si="46"/>
        <v>248229.83550431847</v>
      </c>
      <c r="AE120">
        <f t="shared" si="47"/>
        <v>0.30225715929568048</v>
      </c>
      <c r="AG120">
        <f t="shared" si="48"/>
        <v>96.070115318521829</v>
      </c>
      <c r="AH120">
        <f t="shared" si="49"/>
        <v>269.80938068162357</v>
      </c>
      <c r="AI120">
        <f t="shared" si="50"/>
        <v>680.48113727552982</v>
      </c>
      <c r="AJ120">
        <f t="shared" si="51"/>
        <v>1527.7583161133357</v>
      </c>
      <c r="AK120">
        <f t="shared" si="64"/>
        <v>0.9046713882368036</v>
      </c>
      <c r="AM120">
        <f t="shared" si="52"/>
        <v>1.5111608008107182</v>
      </c>
      <c r="AN120">
        <f t="shared" si="53"/>
        <v>1.6026294525161364</v>
      </c>
      <c r="AO120">
        <f t="shared" si="54"/>
        <v>1.6996331592404146</v>
      </c>
      <c r="AP120">
        <f t="shared" si="55"/>
        <v>1.8020696280664117</v>
      </c>
      <c r="AQ120">
        <f t="shared" si="65"/>
        <v>1.1947694902939505</v>
      </c>
      <c r="AS120">
        <f t="shared" si="56"/>
        <v>0.47257484814370665</v>
      </c>
      <c r="AT120">
        <f t="shared" si="57"/>
        <v>0.47278590947883248</v>
      </c>
      <c r="AU120">
        <f t="shared" si="58"/>
        <v>0.47258909861709519</v>
      </c>
      <c r="AV120">
        <f t="shared" si="59"/>
        <v>0.47200785223230746</v>
      </c>
      <c r="AW120">
        <f t="shared" si="66"/>
        <v>0.46552092483112417</v>
      </c>
      <c r="AY120">
        <f t="shared" si="60"/>
        <v>0.92714223550636055</v>
      </c>
      <c r="AZ120">
        <f t="shared" si="61"/>
        <v>0.92494730153606475</v>
      </c>
      <c r="BA120">
        <f t="shared" si="62"/>
        <v>0.9217618470602944</v>
      </c>
      <c r="BB120">
        <f t="shared" si="63"/>
        <v>0.9176620112627869</v>
      </c>
      <c r="BC120">
        <f t="shared" si="67"/>
        <v>0.91779530718124458</v>
      </c>
    </row>
    <row r="121" spans="1:55" x14ac:dyDescent="0.3">
      <c r="A121">
        <f t="shared" si="68"/>
        <v>111</v>
      </c>
      <c r="C121" s="7">
        <v>23.250538669799209</v>
      </c>
      <c r="D121" s="7">
        <v>60.855256584473373</v>
      </c>
      <c r="E121" s="7">
        <v>142.76816846284586</v>
      </c>
      <c r="F121" s="7">
        <v>297.73844790341059</v>
      </c>
      <c r="G121" s="7">
        <v>0.28668350963588557</v>
      </c>
      <c r="I121">
        <f t="shared" si="69"/>
        <v>3.5898546669492361E-2</v>
      </c>
      <c r="J121">
        <f t="shared" si="70"/>
        <v>3.9858784363577211E-2</v>
      </c>
      <c r="K121">
        <f t="shared" si="71"/>
        <v>4.3856159514614336E-2</v>
      </c>
      <c r="L121">
        <f t="shared" si="72"/>
        <v>4.7864858349910985E-2</v>
      </c>
      <c r="M121">
        <f t="shared" si="73"/>
        <v>2.9069550140029585E-2</v>
      </c>
      <c r="O121">
        <f t="shared" si="74"/>
        <v>23.250538669799209</v>
      </c>
      <c r="P121">
        <f t="shared" si="74"/>
        <v>60.855256584473373</v>
      </c>
      <c r="Q121">
        <f t="shared" si="74"/>
        <v>142.76816846284586</v>
      </c>
      <c r="R121">
        <f t="shared" si="74"/>
        <v>297.73844790341059</v>
      </c>
      <c r="S121">
        <f t="shared" si="74"/>
        <v>0.28668350963588557</v>
      </c>
      <c r="U121">
        <f t="shared" si="38"/>
        <v>34.125598373681925</v>
      </c>
      <c r="V121">
        <f t="shared" si="39"/>
        <v>94.420774946456589</v>
      </c>
      <c r="W121">
        <f t="shared" si="40"/>
        <v>234.17542068033001</v>
      </c>
      <c r="X121">
        <f t="shared" si="41"/>
        <v>516.19208531356674</v>
      </c>
      <c r="Y121">
        <f t="shared" si="42"/>
        <v>0.3346513385657528</v>
      </c>
      <c r="AA121">
        <f t="shared" si="43"/>
        <v>418.40388519321402</v>
      </c>
      <c r="AB121">
        <f t="shared" si="44"/>
        <v>3027.6464429101634</v>
      </c>
      <c r="AC121">
        <f t="shared" si="45"/>
        <v>17614.952529186081</v>
      </c>
      <c r="AD121">
        <f t="shared" si="46"/>
        <v>81025.405170053229</v>
      </c>
      <c r="AE121">
        <f t="shared" si="47"/>
        <v>5.1340563218811315E-2</v>
      </c>
      <c r="AG121">
        <f t="shared" si="48"/>
        <v>46.653356159553979</v>
      </c>
      <c r="AH121">
        <f t="shared" si="49"/>
        <v>136.23220567884553</v>
      </c>
      <c r="AI121">
        <f t="shared" si="50"/>
        <v>356.26452943953359</v>
      </c>
      <c r="AJ121">
        <f t="shared" si="51"/>
        <v>827.19133787774285</v>
      </c>
      <c r="AK121">
        <f t="shared" si="64"/>
        <v>0.35979420801726486</v>
      </c>
      <c r="AM121">
        <f t="shared" si="52"/>
        <v>1.4677336666616092</v>
      </c>
      <c r="AN121">
        <f t="shared" si="53"/>
        <v>1.5515631721212253</v>
      </c>
      <c r="AO121">
        <f t="shared" si="54"/>
        <v>1.6402495262189489</v>
      </c>
      <c r="AP121">
        <f t="shared" si="55"/>
        <v>1.7337098683372756</v>
      </c>
      <c r="AQ121">
        <f t="shared" si="65"/>
        <v>1.1673198050030529</v>
      </c>
      <c r="AS121">
        <f t="shared" si="56"/>
        <v>0.4726700788212802</v>
      </c>
      <c r="AT121">
        <f t="shared" si="57"/>
        <v>0.47308628842898037</v>
      </c>
      <c r="AU121">
        <f t="shared" si="58"/>
        <v>0.47312355877015033</v>
      </c>
      <c r="AV121">
        <f t="shared" si="59"/>
        <v>0.47280054814665007</v>
      </c>
      <c r="AW121">
        <f t="shared" si="66"/>
        <v>0.4648625440614671</v>
      </c>
      <c r="AY121">
        <f t="shared" si="60"/>
        <v>0.92891444211739072</v>
      </c>
      <c r="AZ121">
        <f t="shared" si="61"/>
        <v>0.92726905990418762</v>
      </c>
      <c r="BA121">
        <f t="shared" si="62"/>
        <v>0.92467927670581895</v>
      </c>
      <c r="BB121">
        <f t="shared" si="63"/>
        <v>0.92120703423332717</v>
      </c>
      <c r="BC121">
        <f t="shared" si="67"/>
        <v>0.91763358378513271</v>
      </c>
    </row>
    <row r="122" spans="1:55" x14ac:dyDescent="0.3">
      <c r="A122">
        <f t="shared" si="68"/>
        <v>112</v>
      </c>
      <c r="C122" s="7">
        <v>11.660534062846954</v>
      </c>
      <c r="D122" s="7">
        <v>31.891693480548465</v>
      </c>
      <c r="E122" s="7">
        <v>77.972946608457207</v>
      </c>
      <c r="F122" s="7">
        <v>169.0247732165071</v>
      </c>
      <c r="G122" s="7">
        <v>0.11641548011189035</v>
      </c>
      <c r="I122">
        <f t="shared" si="69"/>
        <v>3.2241077276529286E-2</v>
      </c>
      <c r="J122">
        <f t="shared" si="70"/>
        <v>3.5979442200467567E-2</v>
      </c>
      <c r="K122">
        <f t="shared" si="71"/>
        <v>3.9749530995246259E-2</v>
      </c>
      <c r="L122">
        <f t="shared" si="72"/>
        <v>4.3529292540638365E-2</v>
      </c>
      <c r="M122">
        <f t="shared" si="73"/>
        <v>2.6031485924728436E-2</v>
      </c>
      <c r="O122">
        <f t="shared" si="74"/>
        <v>11.660534062846954</v>
      </c>
      <c r="P122">
        <f t="shared" si="74"/>
        <v>31.891693480548465</v>
      </c>
      <c r="Q122">
        <f t="shared" si="74"/>
        <v>77.972946608457207</v>
      </c>
      <c r="R122">
        <f t="shared" si="74"/>
        <v>169.0247732165071</v>
      </c>
      <c r="S122">
        <f t="shared" si="74"/>
        <v>0.11641548011189035</v>
      </c>
      <c r="U122">
        <f t="shared" si="38"/>
        <v>16.670062007358844</v>
      </c>
      <c r="V122">
        <f t="shared" si="39"/>
        <v>48.047299913945665</v>
      </c>
      <c r="W122">
        <f t="shared" si="40"/>
        <v>123.80486314467848</v>
      </c>
      <c r="X122">
        <f t="shared" si="41"/>
        <v>282.81047475360793</v>
      </c>
      <c r="Y122">
        <f t="shared" si="42"/>
        <v>0.13310184369186481</v>
      </c>
      <c r="AA122">
        <f t="shared" si="43"/>
        <v>102.51411812475519</v>
      </c>
      <c r="AB122">
        <f t="shared" si="44"/>
        <v>807.23992401299665</v>
      </c>
      <c r="AC122">
        <f t="shared" si="45"/>
        <v>5083.4241605255611</v>
      </c>
      <c r="AD122">
        <f t="shared" si="46"/>
        <v>25177.828184875769</v>
      </c>
      <c r="AE122">
        <f t="shared" si="47"/>
        <v>8.3024308450599174E-3</v>
      </c>
      <c r="AG122">
        <f t="shared" si="48"/>
        <v>22.221359686279616</v>
      </c>
      <c r="AH122">
        <f t="shared" si="49"/>
        <v>67.411798507304809</v>
      </c>
      <c r="AI122">
        <f t="shared" si="50"/>
        <v>182.67398934822836</v>
      </c>
      <c r="AJ122">
        <f t="shared" si="51"/>
        <v>438.41619740139743</v>
      </c>
      <c r="AK122">
        <f t="shared" si="64"/>
        <v>0.14010661934878904</v>
      </c>
      <c r="AM122">
        <f t="shared" si="52"/>
        <v>1.4296139368498872</v>
      </c>
      <c r="AN122">
        <f t="shared" si="53"/>
        <v>1.5065772516361009</v>
      </c>
      <c r="AO122">
        <f t="shared" si="54"/>
        <v>1.5877925425387245</v>
      </c>
      <c r="AP122">
        <f t="shared" si="55"/>
        <v>1.6731894938935994</v>
      </c>
      <c r="AQ122">
        <f t="shared" si="65"/>
        <v>1.1433345768443914</v>
      </c>
      <c r="AS122">
        <f t="shared" si="56"/>
        <v>0.47261469703901415</v>
      </c>
      <c r="AT122">
        <f t="shared" si="57"/>
        <v>0.4731875079467881</v>
      </c>
      <c r="AU122">
        <f t="shared" si="58"/>
        <v>0.47340746563331193</v>
      </c>
      <c r="AV122">
        <f t="shared" si="59"/>
        <v>0.47328897039612505</v>
      </c>
      <c r="AW122">
        <f t="shared" si="66"/>
        <v>0.4641904351696714</v>
      </c>
      <c r="AY122">
        <f t="shared" si="60"/>
        <v>0.92997480628023022</v>
      </c>
      <c r="AZ122">
        <f t="shared" si="61"/>
        <v>0.92873010541175849</v>
      </c>
      <c r="BA122">
        <f t="shared" si="62"/>
        <v>0.92658203539429673</v>
      </c>
      <c r="BB122">
        <f t="shared" si="63"/>
        <v>0.92358125564946936</v>
      </c>
      <c r="BC122">
        <f t="shared" si="67"/>
        <v>0.91723952930292663</v>
      </c>
    </row>
    <row r="123" spans="1:55" x14ac:dyDescent="0.3">
      <c r="A123">
        <f t="shared" si="68"/>
        <v>113</v>
      </c>
      <c r="C123" s="7">
        <v>5.7171986376631097</v>
      </c>
      <c r="D123" s="7">
        <v>16.322123610653222</v>
      </c>
      <c r="E123" s="7">
        <v>41.553202347392251</v>
      </c>
      <c r="F123" s="7">
        <v>93.567764763078415</v>
      </c>
      <c r="G123" s="7">
        <v>4.6163259986449191E-2</v>
      </c>
      <c r="I123">
        <f t="shared" si="69"/>
        <v>2.8939556654149323E-2</v>
      </c>
      <c r="J123">
        <f t="shared" si="70"/>
        <v>3.2468428532779668E-2</v>
      </c>
      <c r="K123">
        <f t="shared" si="71"/>
        <v>3.6024139869776192E-2</v>
      </c>
      <c r="L123">
        <f t="shared" si="72"/>
        <v>3.9588034496913872E-2</v>
      </c>
      <c r="M123">
        <f t="shared" si="73"/>
        <v>2.3234718046668327E-2</v>
      </c>
      <c r="O123">
        <f t="shared" si="74"/>
        <v>5.7171986376631097</v>
      </c>
      <c r="P123">
        <f t="shared" si="74"/>
        <v>16.322123610653222</v>
      </c>
      <c r="Q123">
        <f t="shared" si="74"/>
        <v>41.553202347392251</v>
      </c>
      <c r="R123">
        <f t="shared" si="74"/>
        <v>93.567764763078415</v>
      </c>
      <c r="S123">
        <f t="shared" si="74"/>
        <v>4.6163259986449191E-2</v>
      </c>
      <c r="U123">
        <f t="shared" si="38"/>
        <v>7.981195657103811</v>
      </c>
      <c r="V123">
        <f t="shared" si="39"/>
        <v>23.940391368344823</v>
      </c>
      <c r="W123">
        <f t="shared" si="40"/>
        <v>64.04178866675376</v>
      </c>
      <c r="X123">
        <f t="shared" si="41"/>
        <v>151.51420576381517</v>
      </c>
      <c r="Y123">
        <f t="shared" si="42"/>
        <v>5.1812473642695034E-2</v>
      </c>
      <c r="AA123">
        <f t="shared" si="43"/>
        <v>24.074116674140548</v>
      </c>
      <c r="AB123">
        <f t="shared" si="44"/>
        <v>205.89592555923784</v>
      </c>
      <c r="AC123">
        <f t="shared" si="45"/>
        <v>1401.2659418014682</v>
      </c>
      <c r="AD123">
        <f t="shared" si="46"/>
        <v>7464.6379238406844</v>
      </c>
      <c r="AE123">
        <f t="shared" si="47"/>
        <v>1.2831879593562714E-3</v>
      </c>
      <c r="AG123">
        <f t="shared" si="48"/>
        <v>10.391008806146941</v>
      </c>
      <c r="AH123">
        <f t="shared" si="49"/>
        <v>32.715417021984159</v>
      </c>
      <c r="AI123">
        <f t="shared" si="50"/>
        <v>91.78564213093432</v>
      </c>
      <c r="AJ123">
        <f t="shared" si="51"/>
        <v>227.54194118047155</v>
      </c>
      <c r="AK123">
        <f t="shared" si="64"/>
        <v>5.3503812358629207E-2</v>
      </c>
      <c r="AM123">
        <f t="shared" si="52"/>
        <v>1.3959976140283459</v>
      </c>
      <c r="AN123">
        <f t="shared" si="53"/>
        <v>1.4667448880683187</v>
      </c>
      <c r="AO123">
        <f t="shared" si="54"/>
        <v>1.5411998365698238</v>
      </c>
      <c r="AP123">
        <f t="shared" si="55"/>
        <v>1.6192991907785987</v>
      </c>
      <c r="AQ123">
        <f t="shared" si="65"/>
        <v>1.122374668901289</v>
      </c>
      <c r="AS123">
        <f t="shared" si="56"/>
        <v>0.47240688205219661</v>
      </c>
      <c r="AT123">
        <f t="shared" si="57"/>
        <v>0.47308587098316024</v>
      </c>
      <c r="AU123">
        <f t="shared" si="58"/>
        <v>0.47343424136038637</v>
      </c>
      <c r="AV123">
        <f t="shared" si="59"/>
        <v>0.47346270433873483</v>
      </c>
      <c r="AW123">
        <f t="shared" si="66"/>
        <v>0.46351265955223275</v>
      </c>
      <c r="AY123">
        <f t="shared" si="60"/>
        <v>0.93018359649703819</v>
      </c>
      <c r="AZ123">
        <f t="shared" si="61"/>
        <v>0.92917134801328993</v>
      </c>
      <c r="BA123">
        <f t="shared" si="62"/>
        <v>0.92729117736764455</v>
      </c>
      <c r="BB123">
        <f t="shared" si="63"/>
        <v>0.92458608501894024</v>
      </c>
      <c r="BC123">
        <f t="shared" si="67"/>
        <v>0.9165722695329519</v>
      </c>
    </row>
    <row r="124" spans="1:55" x14ac:dyDescent="0.3">
      <c r="A124">
        <f t="shared" si="68"/>
        <v>114</v>
      </c>
      <c r="C124" s="7">
        <v>2.745107989935466</v>
      </c>
      <c r="D124" s="7">
        <v>8.1710081048645176</v>
      </c>
      <c r="E124" s="7">
        <v>21.639076483205631</v>
      </c>
      <c r="F124" s="7">
        <v>50.574436765154587</v>
      </c>
      <c r="G124" s="7">
        <v>1.7911799200485624E-2</v>
      </c>
      <c r="I124">
        <f t="shared" si="69"/>
        <v>2.5974651030240218E-2</v>
      </c>
      <c r="J124">
        <f t="shared" si="70"/>
        <v>2.9305638488436807E-2</v>
      </c>
      <c r="K124">
        <f t="shared" si="71"/>
        <v>3.2659123527193142E-2</v>
      </c>
      <c r="L124">
        <f t="shared" si="72"/>
        <v>3.6019467902524832E-2</v>
      </c>
      <c r="M124">
        <f t="shared" si="73"/>
        <v>2.067413953571634E-2</v>
      </c>
      <c r="O124">
        <f t="shared" si="74"/>
        <v>2.745107989935466</v>
      </c>
      <c r="P124">
        <f t="shared" si="74"/>
        <v>8.1710081048645176</v>
      </c>
      <c r="Q124">
        <f t="shared" si="74"/>
        <v>21.639076483205631</v>
      </c>
      <c r="R124">
        <f t="shared" si="74"/>
        <v>50.574436765154587</v>
      </c>
      <c r="S124">
        <f t="shared" si="74"/>
        <v>1.7911799200485624E-2</v>
      </c>
      <c r="U124">
        <f t="shared" si="38"/>
        <v>3.7500423433045231</v>
      </c>
      <c r="V124">
        <f t="shared" si="39"/>
        <v>11.693825510585954</v>
      </c>
      <c r="W124">
        <f t="shared" si="40"/>
        <v>32.445649251454817</v>
      </c>
      <c r="X124">
        <f t="shared" si="41"/>
        <v>79.443104999698662</v>
      </c>
      <c r="Y124">
        <f t="shared" si="42"/>
        <v>1.9774944049227628E-2</v>
      </c>
      <c r="AA124">
        <f t="shared" si="43"/>
        <v>5.4353480744066758</v>
      </c>
      <c r="AB124">
        <f t="shared" si="44"/>
        <v>50.38082658508683</v>
      </c>
      <c r="AC124">
        <f t="shared" si="45"/>
        <v>369.9022151059055</v>
      </c>
      <c r="AD124">
        <f t="shared" si="46"/>
        <v>2116.3588374611613</v>
      </c>
      <c r="AE124">
        <f t="shared" si="47"/>
        <v>1.9027257052556831E-4</v>
      </c>
      <c r="AG124">
        <f t="shared" si="48"/>
        <v>4.7730640265867432</v>
      </c>
      <c r="AH124">
        <f t="shared" si="49"/>
        <v>15.577568208001157</v>
      </c>
      <c r="AI124">
        <f t="shared" si="50"/>
        <v>45.201433660512237</v>
      </c>
      <c r="AJ124">
        <f t="shared" si="51"/>
        <v>115.64606313187495</v>
      </c>
      <c r="AK124">
        <f t="shared" si="64"/>
        <v>2.0064391911498173E-2</v>
      </c>
      <c r="AM124">
        <f t="shared" si="52"/>
        <v>1.3660819017151604</v>
      </c>
      <c r="AN124">
        <f t="shared" si="53"/>
        <v>1.4311362025971026</v>
      </c>
      <c r="AO124">
        <f t="shared" si="54"/>
        <v>1.4994008305593036</v>
      </c>
      <c r="AP124">
        <f t="shared" si="55"/>
        <v>1.5708154174528419</v>
      </c>
      <c r="AQ124">
        <f t="shared" si="65"/>
        <v>1.1040177386921293</v>
      </c>
      <c r="AS124">
        <f t="shared" si="56"/>
        <v>0.47200263435567469</v>
      </c>
      <c r="AT124">
        <f t="shared" si="57"/>
        <v>0.47273002910621398</v>
      </c>
      <c r="AU124">
        <f t="shared" si="58"/>
        <v>0.47314422951088242</v>
      </c>
      <c r="AV124">
        <f t="shared" si="59"/>
        <v>0.47325303597727508</v>
      </c>
      <c r="AW124">
        <f t="shared" si="66"/>
        <v>0.46281768057364059</v>
      </c>
      <c r="AY124">
        <f t="shared" si="60"/>
        <v>0.92921225833101873</v>
      </c>
      <c r="AZ124">
        <f t="shared" si="61"/>
        <v>0.92823729452892534</v>
      </c>
      <c r="BA124">
        <f t="shared" si="62"/>
        <v>0.92642671788971986</v>
      </c>
      <c r="BB124">
        <f t="shared" si="63"/>
        <v>0.92382036256668953</v>
      </c>
      <c r="BC124">
        <f t="shared" si="67"/>
        <v>0.91546772601876569</v>
      </c>
    </row>
    <row r="125" spans="1:55" x14ac:dyDescent="0.3">
      <c r="A125">
        <f t="shared" si="68"/>
        <v>115</v>
      </c>
      <c r="C125" s="7">
        <v>1.2928585778539436</v>
      </c>
      <c r="D125" s="7">
        <v>4.0071715722806198</v>
      </c>
      <c r="E125" s="7">
        <v>11.027211055638229</v>
      </c>
      <c r="F125" s="7">
        <v>26.726137365396273</v>
      </c>
      <c r="G125" s="7">
        <v>6.8138591779767551E-3</v>
      </c>
      <c r="I125">
        <f t="shared" si="69"/>
        <v>2.3323649211141127E-2</v>
      </c>
      <c r="J125">
        <f t="shared" si="70"/>
        <v>2.6467663881063704E-2</v>
      </c>
      <c r="K125">
        <f t="shared" si="71"/>
        <v>2.9630368533075584E-2</v>
      </c>
      <c r="L125">
        <f t="shared" si="72"/>
        <v>3.2798771528929176E-2</v>
      </c>
      <c r="M125">
        <f t="shared" si="73"/>
        <v>1.8341518744013994E-2</v>
      </c>
      <c r="O125">
        <f t="shared" si="74"/>
        <v>1.2928585778539436</v>
      </c>
      <c r="P125">
        <f t="shared" si="74"/>
        <v>4.0071715722806198</v>
      </c>
      <c r="Q125">
        <f t="shared" si="74"/>
        <v>11.027211055638229</v>
      </c>
      <c r="R125">
        <f t="shared" si="74"/>
        <v>26.726137365396273</v>
      </c>
      <c r="S125">
        <f t="shared" si="74"/>
        <v>6.8138591779767551E-3</v>
      </c>
      <c r="U125">
        <f t="shared" si="38"/>
        <v>1.7310590594098187</v>
      </c>
      <c r="V125">
        <f t="shared" si="39"/>
        <v>5.6047356720133861</v>
      </c>
      <c r="W125">
        <f t="shared" si="40"/>
        <v>16.112505482032887</v>
      </c>
      <c r="X125">
        <f t="shared" si="41"/>
        <v>40.792817934423233</v>
      </c>
      <c r="Y125">
        <f t="shared" si="42"/>
        <v>7.4121148599964387E-3</v>
      </c>
      <c r="AA125">
        <f t="shared" si="43"/>
        <v>1.1833022108528362</v>
      </c>
      <c r="AB125">
        <f t="shared" si="44"/>
        <v>11.859016967039096</v>
      </c>
      <c r="AC125">
        <f t="shared" si="45"/>
        <v>93.746322392232329</v>
      </c>
      <c r="AD125">
        <f t="shared" si="46"/>
        <v>575.11903187792132</v>
      </c>
      <c r="AE125">
        <f t="shared" si="47"/>
        <v>2.7169335568194593E-5</v>
      </c>
      <c r="AG125">
        <f t="shared" si="48"/>
        <v>2.1535341095696987</v>
      </c>
      <c r="AH125">
        <f t="shared" si="49"/>
        <v>7.2752739944168123</v>
      </c>
      <c r="AI125">
        <f t="shared" si="50"/>
        <v>21.806678412732332</v>
      </c>
      <c r="AJ125">
        <f t="shared" si="51"/>
        <v>57.515459948127194</v>
      </c>
      <c r="AK125">
        <f t="shared" si="64"/>
        <v>7.395690792095214E-3</v>
      </c>
      <c r="AM125">
        <f t="shared" si="52"/>
        <v>1.3389392227905219</v>
      </c>
      <c r="AN125">
        <f t="shared" si="53"/>
        <v>1.3986762410633538</v>
      </c>
      <c r="AO125">
        <f t="shared" si="54"/>
        <v>1.46115871009783</v>
      </c>
      <c r="AP125">
        <f t="shared" si="55"/>
        <v>1.5263267331417605</v>
      </c>
      <c r="AQ125">
        <f t="shared" si="65"/>
        <v>1.0877998306676664</v>
      </c>
      <c r="AS125">
        <f t="shared" si="56"/>
        <v>0.47127144062544024</v>
      </c>
      <c r="AT125">
        <f t="shared" si="57"/>
        <v>0.47197362361846673</v>
      </c>
      <c r="AU125">
        <f t="shared" si="58"/>
        <v>0.47237486695695741</v>
      </c>
      <c r="AV125">
        <f t="shared" si="59"/>
        <v>0.4724813283011734</v>
      </c>
      <c r="AW125">
        <f t="shared" si="66"/>
        <v>0.46204775608653292</v>
      </c>
      <c r="AY125">
        <f t="shared" si="60"/>
        <v>0.92642905549176746</v>
      </c>
      <c r="AZ125">
        <f t="shared" si="61"/>
        <v>0.92526976020945551</v>
      </c>
      <c r="BA125">
        <f t="shared" si="62"/>
        <v>0.92331117965684761</v>
      </c>
      <c r="BB125">
        <f t="shared" si="63"/>
        <v>0.9205951548904312</v>
      </c>
      <c r="BC125">
        <f t="shared" si="67"/>
        <v>0.91350947817223238</v>
      </c>
    </row>
    <row r="126" spans="1:55" x14ac:dyDescent="0.3">
      <c r="A126">
        <f t="shared" si="68"/>
        <v>116</v>
      </c>
      <c r="C126" s="7">
        <v>0.5981718048407999</v>
      </c>
      <c r="D126" s="7">
        <v>1.9279723096989427</v>
      </c>
      <c r="E126" s="7">
        <v>5.5066551335740277</v>
      </c>
      <c r="F126" s="7">
        <v>13.826288488861461</v>
      </c>
      <c r="G126" s="7">
        <v>2.5461106768196276E-3</v>
      </c>
      <c r="I126">
        <f t="shared" si="69"/>
        <v>2.0961898885122187E-2</v>
      </c>
      <c r="J126">
        <f t="shared" si="70"/>
        <v>2.3929219176239063E-2</v>
      </c>
      <c r="K126">
        <f t="shared" si="71"/>
        <v>2.691193173564194E-2</v>
      </c>
      <c r="L126">
        <f t="shared" si="72"/>
        <v>2.9899337148281094E-2</v>
      </c>
      <c r="M126">
        <f t="shared" si="73"/>
        <v>1.6226227621488985E-2</v>
      </c>
      <c r="O126">
        <f t="shared" si="74"/>
        <v>0.5981718048407999</v>
      </c>
      <c r="P126">
        <f t="shared" si="74"/>
        <v>1.9279723096989427</v>
      </c>
      <c r="Q126">
        <f t="shared" si="74"/>
        <v>5.5066551335740277</v>
      </c>
      <c r="R126">
        <f t="shared" si="74"/>
        <v>13.826288488861461</v>
      </c>
      <c r="S126">
        <f t="shared" si="74"/>
        <v>2.5461106768196276E-3</v>
      </c>
      <c r="U126">
        <f t="shared" si="38"/>
        <v>0.78554386806244691</v>
      </c>
      <c r="V126">
        <f t="shared" si="39"/>
        <v>2.6371637310236049</v>
      </c>
      <c r="W126">
        <f t="shared" si="40"/>
        <v>7.8455723874267589</v>
      </c>
      <c r="X126">
        <f t="shared" si="41"/>
        <v>20.516605007294366</v>
      </c>
      <c r="Y126">
        <f t="shared" si="42"/>
        <v>2.7321299325982476E-3</v>
      </c>
      <c r="AA126">
        <f t="shared" si="43"/>
        <v>0.24908742440089449</v>
      </c>
      <c r="AB126">
        <f t="shared" si="44"/>
        <v>2.6922779442958884</v>
      </c>
      <c r="AC126">
        <f t="shared" si="45"/>
        <v>22.864428127485098</v>
      </c>
      <c r="AD126">
        <f t="shared" si="46"/>
        <v>150.12704612520051</v>
      </c>
      <c r="AE126">
        <f t="shared" si="47"/>
        <v>3.7492702084262636E-6</v>
      </c>
      <c r="AG126">
        <f t="shared" si="48"/>
        <v>0.95312321025132785</v>
      </c>
      <c r="AH126">
        <f t="shared" si="49"/>
        <v>3.3275908981134568</v>
      </c>
      <c r="AI126">
        <f t="shared" si="50"/>
        <v>10.287685804841193</v>
      </c>
      <c r="AJ126">
        <f t="shared" si="51"/>
        <v>27.935735883646291</v>
      </c>
      <c r="AK126">
        <f t="shared" si="64"/>
        <v>2.6792141042276309E-3</v>
      </c>
      <c r="AM126">
        <f t="shared" si="52"/>
        <v>1.3132412154924538</v>
      </c>
      <c r="AN126">
        <f t="shared" si="53"/>
        <v>1.3678431571641214</v>
      </c>
      <c r="AO126">
        <f t="shared" si="54"/>
        <v>1.4247437322872052</v>
      </c>
      <c r="AP126">
        <f t="shared" si="55"/>
        <v>1.4838837641658253</v>
      </c>
      <c r="AQ126">
        <f t="shared" si="65"/>
        <v>1.0730601609239463</v>
      </c>
      <c r="AS126">
        <f t="shared" si="56"/>
        <v>0.46990290937956058</v>
      </c>
      <c r="AT126">
        <f t="shared" si="57"/>
        <v>0.47048044021444613</v>
      </c>
      <c r="AU126">
        <f t="shared" si="58"/>
        <v>0.47076588556431176</v>
      </c>
      <c r="AV126">
        <f t="shared" si="59"/>
        <v>0.47076588935956909</v>
      </c>
      <c r="AW126">
        <f t="shared" si="66"/>
        <v>0.46102562998233854</v>
      </c>
      <c r="AY126">
        <f t="shared" si="60"/>
        <v>0.92078165205112006</v>
      </c>
      <c r="AZ126">
        <f t="shared" si="61"/>
        <v>0.91921606956994339</v>
      </c>
      <c r="BA126">
        <f t="shared" si="62"/>
        <v>0.91690453668903482</v>
      </c>
      <c r="BB126">
        <f t="shared" si="63"/>
        <v>0.91389584930506229</v>
      </c>
      <c r="BC126">
        <f t="shared" si="67"/>
        <v>0.90979657766261568</v>
      </c>
    </row>
    <row r="127" spans="1:55" x14ac:dyDescent="0.3">
      <c r="A127">
        <f t="shared" si="68"/>
        <v>117</v>
      </c>
      <c r="C127" s="7">
        <v>0.27227660483632693</v>
      </c>
      <c r="D127" s="7">
        <v>0.91131547565511983</v>
      </c>
      <c r="E127" s="7">
        <v>2.698260238472459</v>
      </c>
      <c r="F127" s="7">
        <v>7.0111248712583567</v>
      </c>
      <c r="G127" s="7">
        <v>9.3619829613595859E-4</v>
      </c>
      <c r="I127">
        <f t="shared" si="69"/>
        <v>1.8863987388122581E-2</v>
      </c>
      <c r="J127">
        <f t="shared" si="70"/>
        <v>2.1664312663333261E-2</v>
      </c>
      <c r="K127">
        <f t="shared" si="71"/>
        <v>2.4477206901290589E-2</v>
      </c>
      <c r="L127">
        <f t="shared" si="72"/>
        <v>2.7293933172621188E-2</v>
      </c>
      <c r="M127">
        <f t="shared" si="73"/>
        <v>1.4315921473849084E-2</v>
      </c>
      <c r="O127">
        <f t="shared" si="74"/>
        <v>0.27227660483632693</v>
      </c>
      <c r="P127">
        <f t="shared" si="74"/>
        <v>0.91131547565511983</v>
      </c>
      <c r="Q127">
        <f t="shared" si="74"/>
        <v>2.698260238472459</v>
      </c>
      <c r="R127">
        <f t="shared" si="74"/>
        <v>7.0111248712583567</v>
      </c>
      <c r="S127">
        <f t="shared" si="74"/>
        <v>9.3619829613595859E-4</v>
      </c>
      <c r="U127">
        <f t="shared" si="38"/>
        <v>0.35031966322388353</v>
      </c>
      <c r="V127">
        <f t="shared" si="39"/>
        <v>1.2175198383465735</v>
      </c>
      <c r="W127">
        <f t="shared" si="40"/>
        <v>3.7431147014035151</v>
      </c>
      <c r="X127">
        <f t="shared" si="41"/>
        <v>10.097898327234457</v>
      </c>
      <c r="Y127">
        <f t="shared" si="42"/>
        <v>9.9097544612045444E-4</v>
      </c>
      <c r="AA127">
        <f t="shared" si="43"/>
        <v>5.0816675808038392E-2</v>
      </c>
      <c r="AB127">
        <f t="shared" si="44"/>
        <v>0.59075656909669327</v>
      </c>
      <c r="AC127">
        <f t="shared" si="45"/>
        <v>5.3770122379712006</v>
      </c>
      <c r="AD127">
        <f t="shared" si="46"/>
        <v>37.707059312183766</v>
      </c>
      <c r="AE127">
        <f t="shared" si="47"/>
        <v>5.0166643985463625E-7</v>
      </c>
      <c r="AG127">
        <f t="shared" si="48"/>
        <v>0.41234937794186871</v>
      </c>
      <c r="AH127">
        <f t="shared" si="49"/>
        <v>1.4849705162653533</v>
      </c>
      <c r="AI127">
        <f t="shared" si="50"/>
        <v>4.7273751683511858</v>
      </c>
      <c r="AJ127">
        <f t="shared" si="51"/>
        <v>13.196414517848805</v>
      </c>
      <c r="AK127">
        <f t="shared" si="64"/>
        <v>9.5182077992525256E-4</v>
      </c>
      <c r="AM127">
        <f t="shared" si="52"/>
        <v>1.2866315247116822</v>
      </c>
      <c r="AN127">
        <f t="shared" si="53"/>
        <v>1.3360025928137913</v>
      </c>
      <c r="AO127">
        <f t="shared" si="54"/>
        <v>1.3872326501474037</v>
      </c>
      <c r="AP127">
        <f t="shared" si="55"/>
        <v>1.4402679331286945</v>
      </c>
      <c r="AQ127">
        <f t="shared" si="65"/>
        <v>1.058510200467766</v>
      </c>
      <c r="AS127">
        <f t="shared" si="56"/>
        <v>0.46724024452936164</v>
      </c>
      <c r="AT127">
        <f t="shared" si="57"/>
        <v>0.46756846772470917</v>
      </c>
      <c r="AU127">
        <f t="shared" si="58"/>
        <v>0.46761715132382664</v>
      </c>
      <c r="AV127">
        <f t="shared" si="59"/>
        <v>0.46739655855328421</v>
      </c>
      <c r="AW127">
        <f t="shared" si="66"/>
        <v>0.4592652146028815</v>
      </c>
      <c r="AY127">
        <f t="shared" si="60"/>
        <v>0.91087117709128262</v>
      </c>
      <c r="AZ127">
        <f t="shared" si="61"/>
        <v>0.90876146907453759</v>
      </c>
      <c r="BA127">
        <f t="shared" si="62"/>
        <v>0.90599258789085457</v>
      </c>
      <c r="BB127">
        <f t="shared" si="63"/>
        <v>0.90262312112597376</v>
      </c>
      <c r="BC127">
        <f t="shared" si="67"/>
        <v>0.90265917619205815</v>
      </c>
    </row>
    <row r="128" spans="1:55" x14ac:dyDescent="0.3">
      <c r="A128">
        <f t="shared" si="68"/>
        <v>118</v>
      </c>
      <c r="C128" s="7">
        <v>0.12209152191102589</v>
      </c>
      <c r="D128" s="7">
        <v>0.423749806614036</v>
      </c>
      <c r="E128" s="7">
        <v>1.298981847253142</v>
      </c>
      <c r="F128" s="7">
        <v>3.4890682363585088</v>
      </c>
      <c r="G128" s="7">
        <v>3.3930735455280965E-4</v>
      </c>
      <c r="I128">
        <f t="shared" si="69"/>
        <v>1.7004663672131205E-2</v>
      </c>
      <c r="J128">
        <f t="shared" si="70"/>
        <v>1.9647159971695211E-2</v>
      </c>
      <c r="K128">
        <f t="shared" si="71"/>
        <v>2.2299834134396776E-2</v>
      </c>
      <c r="L128">
        <f t="shared" si="72"/>
        <v>2.4955611303742554E-2</v>
      </c>
      <c r="M128">
        <f t="shared" si="73"/>
        <v>1.2597145709090405E-2</v>
      </c>
      <c r="O128">
        <f t="shared" si="74"/>
        <v>0.12209152191102589</v>
      </c>
      <c r="P128">
        <f t="shared" si="74"/>
        <v>0.423749806614036</v>
      </c>
      <c r="Q128">
        <f t="shared" si="74"/>
        <v>1.298981847253142</v>
      </c>
      <c r="R128">
        <f t="shared" si="74"/>
        <v>3.4890682363585088</v>
      </c>
      <c r="S128">
        <f t="shared" si="74"/>
        <v>3.3930735455280965E-4</v>
      </c>
      <c r="U128">
        <f t="shared" si="38"/>
        <v>0.15313559985020711</v>
      </c>
      <c r="V128">
        <f t="shared" si="39"/>
        <v>0.54998719721199563</v>
      </c>
      <c r="W128">
        <f t="shared" si="40"/>
        <v>1.7444936585407147</v>
      </c>
      <c r="X128">
        <f t="shared" si="41"/>
        <v>4.8478017734260241</v>
      </c>
      <c r="Y128">
        <f t="shared" si="42"/>
        <v>3.5322262077607029E-4</v>
      </c>
      <c r="AA128">
        <f t="shared" si="43"/>
        <v>1.0055491031711055E-2</v>
      </c>
      <c r="AB128">
        <f t="shared" si="44"/>
        <v>0.12534671864763147</v>
      </c>
      <c r="AC128">
        <f t="shared" si="45"/>
        <v>1.2193611636527688</v>
      </c>
      <c r="AD128">
        <f t="shared" si="46"/>
        <v>9.1098052429190837</v>
      </c>
      <c r="AE128">
        <f t="shared" si="47"/>
        <v>6.5247873941223599E-8</v>
      </c>
      <c r="AG128">
        <f t="shared" si="48"/>
        <v>0.17313716998193182</v>
      </c>
      <c r="AH128">
        <f t="shared" si="49"/>
        <v>0.64184747090615901</v>
      </c>
      <c r="AI128">
        <f t="shared" si="50"/>
        <v>2.1001775209806803</v>
      </c>
      <c r="AJ128">
        <f t="shared" si="51"/>
        <v>6.0170691870935507</v>
      </c>
      <c r="AK128">
        <f t="shared" si="64"/>
        <v>3.2946265827558604E-4</v>
      </c>
      <c r="AM128">
        <f t="shared" si="52"/>
        <v>1.2542689078919385</v>
      </c>
      <c r="AN128">
        <f t="shared" si="53"/>
        <v>1.2979054824984035</v>
      </c>
      <c r="AO128">
        <f t="shared" si="54"/>
        <v>1.3429700054928886</v>
      </c>
      <c r="AP128">
        <f t="shared" si="55"/>
        <v>1.3894258997025539</v>
      </c>
      <c r="AQ128">
        <f t="shared" si="65"/>
        <v>1.0410108004926693</v>
      </c>
      <c r="AS128">
        <f t="shared" si="56"/>
        <v>0.46217422518819673</v>
      </c>
      <c r="AT128">
        <f t="shared" si="57"/>
        <v>0.46216275155144415</v>
      </c>
      <c r="AU128">
        <f t="shared" si="58"/>
        <v>0.46190385384544175</v>
      </c>
      <c r="AV128">
        <f t="shared" si="59"/>
        <v>0.4614143523839338</v>
      </c>
      <c r="AW128">
        <f t="shared" si="66"/>
        <v>0.45559189357758767</v>
      </c>
      <c r="AY128">
        <f t="shared" si="60"/>
        <v>0.896004831319684</v>
      </c>
      <c r="AZ128">
        <f t="shared" si="61"/>
        <v>0.89348571534072863</v>
      </c>
      <c r="BA128">
        <f t="shared" si="62"/>
        <v>0.89043594021659178</v>
      </c>
      <c r="BB128">
        <f t="shared" si="63"/>
        <v>0.88692195666361739</v>
      </c>
      <c r="BC128">
        <f t="shared" si="67"/>
        <v>0.88993093986647909</v>
      </c>
    </row>
    <row r="129" spans="1:55" x14ac:dyDescent="0.3">
      <c r="A129">
        <f t="shared" si="68"/>
        <v>119</v>
      </c>
      <c r="C129" s="7">
        <v>5.3999146393086075E-2</v>
      </c>
      <c r="D129" s="7">
        <v>0.19406706063780452</v>
      </c>
      <c r="E129" s="7">
        <v>0.61512451186712469</v>
      </c>
      <c r="F129" s="7">
        <v>1.7059745791335961</v>
      </c>
      <c r="G129" s="7">
        <v>1.2140346390130363E-4</v>
      </c>
      <c r="I129">
        <f t="shared" si="69"/>
        <v>1.5359519806301968E-2</v>
      </c>
      <c r="J129">
        <f t="shared" si="70"/>
        <v>1.7852858429855532E-2</v>
      </c>
      <c r="K129">
        <f t="shared" si="71"/>
        <v>2.035437062625596E-2</v>
      </c>
      <c r="L129">
        <f t="shared" si="72"/>
        <v>2.2858374747445277E-2</v>
      </c>
      <c r="M129">
        <f t="shared" si="73"/>
        <v>1.1055856226021751E-2</v>
      </c>
      <c r="O129">
        <f t="shared" si="74"/>
        <v>5.3999146393086075E-2</v>
      </c>
      <c r="P129">
        <f t="shared" si="74"/>
        <v>0.19406706063780452</v>
      </c>
      <c r="Q129">
        <f t="shared" si="74"/>
        <v>0.61512451186712469</v>
      </c>
      <c r="R129">
        <f t="shared" si="74"/>
        <v>1.7059745791335961</v>
      </c>
      <c r="S129">
        <f t="shared" si="74"/>
        <v>1.2140346390130363E-4</v>
      </c>
      <c r="U129">
        <f t="shared" si="38"/>
        <v>6.5090265698151129E-2</v>
      </c>
      <c r="V129">
        <f t="shared" si="39"/>
        <v>0.24107876358607538</v>
      </c>
      <c r="W129">
        <f t="shared" si="40"/>
        <v>0.78744047898058156</v>
      </c>
      <c r="X129">
        <f t="shared" si="41"/>
        <v>2.2502803656799717</v>
      </c>
      <c r="Y129">
        <f t="shared" si="42"/>
        <v>1.2286721154901366E-4</v>
      </c>
      <c r="AA129">
        <f t="shared" si="43"/>
        <v>1.9171291987908478E-3</v>
      </c>
      <c r="AB129">
        <f t="shared" si="44"/>
        <v>2.5526117965813395E-2</v>
      </c>
      <c r="AC129">
        <f t="shared" si="45"/>
        <v>0.26443863721650251</v>
      </c>
      <c r="AD129">
        <f t="shared" si="46"/>
        <v>2.097735863350406</v>
      </c>
      <c r="AE129">
        <f t="shared" si="47"/>
        <v>8.2274172509702445E-9</v>
      </c>
      <c r="AG129">
        <f t="shared" si="48"/>
        <v>6.9698601834247684E-2</v>
      </c>
      <c r="AH129">
        <f t="shared" si="49"/>
        <v>0.26545471933847609</v>
      </c>
      <c r="AI129">
        <f t="shared" si="50"/>
        <v>0.89119856350220028</v>
      </c>
      <c r="AJ129">
        <f t="shared" si="51"/>
        <v>2.6166192556426289</v>
      </c>
      <c r="AK129">
        <f t="shared" si="64"/>
        <v>1.0957639966733624E-4</v>
      </c>
      <c r="AM129">
        <f t="shared" si="52"/>
        <v>1.2053943450203342</v>
      </c>
      <c r="AN129">
        <f t="shared" si="53"/>
        <v>1.24224462819072</v>
      </c>
      <c r="AO129">
        <f t="shared" si="54"/>
        <v>1.2801318493883713</v>
      </c>
      <c r="AP129">
        <f t="shared" si="55"/>
        <v>1.3190585564427397</v>
      </c>
      <c r="AQ129">
        <f t="shared" si="65"/>
        <v>1.0120568853694323</v>
      </c>
      <c r="AS129">
        <f t="shared" si="56"/>
        <v>0.45455816774443403</v>
      </c>
      <c r="AT129">
        <f t="shared" si="57"/>
        <v>0.45440046883144825</v>
      </c>
      <c r="AU129">
        <f t="shared" si="58"/>
        <v>0.45406097389135391</v>
      </c>
      <c r="AV129">
        <f t="shared" si="59"/>
        <v>0.45356108947532603</v>
      </c>
      <c r="AW129">
        <f t="shared" si="66"/>
        <v>0.4484353267891813</v>
      </c>
      <c r="AY129">
        <f t="shared" si="60"/>
        <v>0.88129369997277629</v>
      </c>
      <c r="AZ129">
        <f t="shared" si="61"/>
        <v>0.8790779493338079</v>
      </c>
      <c r="BA129">
        <f t="shared" si="62"/>
        <v>0.87647169875228759</v>
      </c>
      <c r="BB129">
        <f t="shared" si="63"/>
        <v>0.87353939976648809</v>
      </c>
      <c r="BC129">
        <f t="shared" si="67"/>
        <v>0.87315894477181011</v>
      </c>
    </row>
    <row r="130" spans="1:55" x14ac:dyDescent="0.3">
      <c r="A130">
        <f t="shared" si="68"/>
        <v>120</v>
      </c>
      <c r="C130" s="7">
        <v>2.3583291461310524E-2</v>
      </c>
      <c r="D130" s="7">
        <v>8.7636462141018306E-2</v>
      </c>
      <c r="E130" s="7">
        <v>0.28684509839548689</v>
      </c>
      <c r="F130" s="7">
        <v>0.82044770421978863</v>
      </c>
      <c r="G130" s="7">
        <v>4.2944404657115671E-5</v>
      </c>
      <c r="O130">
        <f>EXP(C$148-C$145*EXP($A130*C$143))</f>
        <v>2.358329146131067E-2</v>
      </c>
      <c r="P130">
        <f>EXP(D$148-D$145*EXP($A130*D$143))</f>
        <v>8.7636462141017807E-2</v>
      </c>
      <c r="Q130">
        <f>EXP(E$148-E$145*EXP($A130*E$143))</f>
        <v>0.28684509839548961</v>
      </c>
      <c r="R130">
        <f>EXP(F$148-F$145*EXP($A130*F$143))</f>
        <v>0.8204477042197964</v>
      </c>
      <c r="S130">
        <f t="shared" si="74"/>
        <v>4.2944404657115671E-5</v>
      </c>
      <c r="U130">
        <f t="shared" si="38"/>
        <v>2.6299046770952756E-2</v>
      </c>
      <c r="V130">
        <f t="shared" si="39"/>
        <v>0.10022700219666422</v>
      </c>
      <c r="W130">
        <f t="shared" si="40"/>
        <v>0.33645567384927438</v>
      </c>
      <c r="X130">
        <f t="shared" si="41"/>
        <v>0.98706922400327513</v>
      </c>
      <c r="Y130">
        <f t="shared" si="42"/>
        <v>4.0693277269804018E-5</v>
      </c>
      <c r="AA130">
        <f t="shared" si="43"/>
        <v>3.3527684699711423E-4</v>
      </c>
      <c r="AB130">
        <f t="shared" si="44"/>
        <v>4.7429432546150941E-3</v>
      </c>
      <c r="AC130">
        <f t="shared" si="45"/>
        <v>5.2070728314739377E-2</v>
      </c>
      <c r="AD130">
        <f t="shared" si="46"/>
        <v>0.43668698771138026</v>
      </c>
      <c r="AE130">
        <f t="shared" si="47"/>
        <v>9.618764445894601E-10</v>
      </c>
      <c r="AG130">
        <f t="shared" si="48"/>
        <v>2.6538600177343691E-2</v>
      </c>
      <c r="AH130">
        <f t="shared" si="49"/>
        <v>0.10367105298850517</v>
      </c>
      <c r="AI130">
        <f t="shared" si="50"/>
        <v>0.35660710487657526</v>
      </c>
      <c r="AJ130">
        <f t="shared" si="51"/>
        <v>1.0717383670438221</v>
      </c>
      <c r="AK130">
        <f t="shared" si="64"/>
        <v>3.4334410194943049E-5</v>
      </c>
      <c r="AM130">
        <f t="shared" si="52"/>
        <v>1.1151559066340417</v>
      </c>
      <c r="AN130">
        <f t="shared" si="53"/>
        <v>1.1436678267019349</v>
      </c>
      <c r="AO130">
        <f t="shared" si="54"/>
        <v>1.172952495027068</v>
      </c>
      <c r="AP130">
        <f t="shared" si="55"/>
        <v>1.2030860942464665</v>
      </c>
      <c r="AQ130">
        <f t="shared" si="65"/>
        <v>0.94758042624445482</v>
      </c>
      <c r="AS130">
        <f t="shared" si="56"/>
        <v>0.45942104072335421</v>
      </c>
      <c r="AT130">
        <f t="shared" si="57"/>
        <v>0.46001915884547695</v>
      </c>
      <c r="AU130">
        <f t="shared" si="58"/>
        <v>0.46046656561257382</v>
      </c>
      <c r="AV130">
        <f t="shared" si="59"/>
        <v>0.46077286850379329</v>
      </c>
      <c r="AW130">
        <f t="shared" si="66"/>
        <v>0.44958528572004608</v>
      </c>
      <c r="AY130">
        <f t="shared" si="60"/>
        <v>0.89989311191615229</v>
      </c>
      <c r="AZ130">
        <f t="shared" si="61"/>
        <v>0.89936159401753202</v>
      </c>
      <c r="BA130">
        <f t="shared" si="62"/>
        <v>0.89845581039241451</v>
      </c>
      <c r="BB130">
        <f t="shared" si="63"/>
        <v>0.89721155151877641</v>
      </c>
      <c r="BC130">
        <f t="shared" si="67"/>
        <v>0.88364208666418065</v>
      </c>
    </row>
    <row r="131" spans="1:55" x14ac:dyDescent="0.3">
      <c r="A131">
        <f t="shared" si="68"/>
        <v>121</v>
      </c>
      <c r="O131">
        <f t="shared" ref="O131:S160" si="75">EXP(C$148-C$145*EXP($A131*C$143))</f>
        <v>9.1943952240037888E-3</v>
      </c>
      <c r="P131">
        <f t="shared" si="75"/>
        <v>3.5221006750531095E-2</v>
      </c>
      <c r="Q131">
        <f t="shared" si="75"/>
        <v>0.11872943625515821</v>
      </c>
      <c r="R131">
        <f t="shared" si="75"/>
        <v>0.34945028584766796</v>
      </c>
      <c r="S131">
        <f t="shared" si="75"/>
        <v>1.3503653983102675E-5</v>
      </c>
      <c r="U131">
        <f t="shared" si="38"/>
        <v>9.9102034282955286E-3</v>
      </c>
      <c r="V131">
        <f t="shared" si="39"/>
        <v>3.8798267750889778E-2</v>
      </c>
      <c r="W131">
        <f t="shared" si="40"/>
        <v>0.13366840652395048</v>
      </c>
      <c r="X131">
        <f t="shared" si="41"/>
        <v>0.40212022896954286</v>
      </c>
      <c r="Y131">
        <f t="shared" si="42"/>
        <v>1.2469247949694839E-5</v>
      </c>
      <c r="AA131">
        <f t="shared" si="43"/>
        <v>4.9429299642955316E-5</v>
      </c>
      <c r="AB131">
        <f t="shared" si="44"/>
        <v>7.4050550868960967E-4</v>
      </c>
      <c r="AC131">
        <f t="shared" si="45"/>
        <v>8.5928128707268205E-3</v>
      </c>
      <c r="AD131">
        <f t="shared" si="46"/>
        <v>7.6035113577639535E-2</v>
      </c>
      <c r="AE131">
        <f t="shared" si="47"/>
        <v>9.3050796839628115E-11</v>
      </c>
      <c r="AG131">
        <f t="shared" si="48"/>
        <v>9.6330497641617871E-3</v>
      </c>
      <c r="AH131">
        <f t="shared" si="49"/>
        <v>3.852637263060206E-2</v>
      </c>
      <c r="AI131">
        <f t="shared" si="50"/>
        <v>0.13555470320165708</v>
      </c>
      <c r="AJ131">
        <f t="shared" si="51"/>
        <v>0.41639342542175728</v>
      </c>
      <c r="AK131">
        <f t="shared" si="64"/>
        <v>1.0206543474694705E-5</v>
      </c>
    </row>
    <row r="132" spans="1:55" x14ac:dyDescent="0.3">
      <c r="A132">
        <f t="shared" si="68"/>
        <v>122</v>
      </c>
      <c r="O132">
        <f t="shared" si="75"/>
        <v>3.4451164120704704E-3</v>
      </c>
      <c r="P132">
        <f t="shared" si="75"/>
        <v>1.3569228135947712E-2</v>
      </c>
      <c r="Q132">
        <f t="shared" si="75"/>
        <v>4.6995393249756288E-2</v>
      </c>
      <c r="R132">
        <f t="shared" si="75"/>
        <v>0.14201685629484853</v>
      </c>
      <c r="S132">
        <f t="shared" si="75"/>
        <v>4.0834414391607819E-6</v>
      </c>
      <c r="U132">
        <f t="shared" si="38"/>
        <v>3.5904476102583995E-3</v>
      </c>
      <c r="V132">
        <f t="shared" si="39"/>
        <v>1.4403150307650377E-2</v>
      </c>
      <c r="W132">
        <f t="shared" si="40"/>
        <v>5.0805991771493239E-2</v>
      </c>
      <c r="X132">
        <f t="shared" si="41"/>
        <v>0.15638665789828463</v>
      </c>
      <c r="Y132">
        <f t="shared" si="42"/>
        <v>3.6757002385631097E-6</v>
      </c>
      <c r="AA132">
        <f t="shared" si="43"/>
        <v>6.7354688052290576E-6</v>
      </c>
      <c r="AB132">
        <f t="shared" si="44"/>
        <v>1.0631712718892207E-4</v>
      </c>
      <c r="AC132">
        <f t="shared" si="45"/>
        <v>1.297818681626839E-3</v>
      </c>
      <c r="AD132">
        <f t="shared" si="46"/>
        <v>1.2064406651536037E-2</v>
      </c>
      <c r="AE132">
        <f t="shared" si="47"/>
        <v>8.3292817939247082E-12</v>
      </c>
      <c r="AG132">
        <f t="shared" si="48"/>
        <v>3.361830812545933E-3</v>
      </c>
      <c r="AH132">
        <f t="shared" si="49"/>
        <v>1.3729978485880593E-2</v>
      </c>
      <c r="AI132">
        <f t="shared" si="50"/>
        <v>4.9295340971052037E-2</v>
      </c>
      <c r="AJ132">
        <f t="shared" si="51"/>
        <v>0.15442610111724517</v>
      </c>
      <c r="AK132">
        <f t="shared" si="64"/>
        <v>2.9190870925608882E-6</v>
      </c>
    </row>
    <row r="133" spans="1:55" x14ac:dyDescent="0.3">
      <c r="A133">
        <f t="shared" si="68"/>
        <v>123</v>
      </c>
      <c r="C133" t="s">
        <v>73</v>
      </c>
      <c r="O133">
        <f t="shared" si="75"/>
        <v>1.2385690878669792E-3</v>
      </c>
      <c r="P133">
        <f t="shared" si="75"/>
        <v>5.0014180326030267E-3</v>
      </c>
      <c r="Q133">
        <f t="shared" si="75"/>
        <v>1.7748196061950824E-2</v>
      </c>
      <c r="R133">
        <f t="shared" si="75"/>
        <v>5.4928008245260118E-2</v>
      </c>
      <c r="S133">
        <f t="shared" si="75"/>
        <v>1.1859286265388803E-6</v>
      </c>
      <c r="U133">
        <f t="shared" si="38"/>
        <v>1.2486048602896743E-3</v>
      </c>
      <c r="V133">
        <f t="shared" si="39"/>
        <v>5.1178272233750079E-3</v>
      </c>
      <c r="W133">
        <f t="shared" si="40"/>
        <v>1.8434197115639681E-2</v>
      </c>
      <c r="X133">
        <f t="shared" si="41"/>
        <v>5.7914225628230294E-2</v>
      </c>
      <c r="Y133">
        <f t="shared" si="42"/>
        <v>1.0410152057132787E-6</v>
      </c>
      <c r="AA133">
        <f t="shared" si="43"/>
        <v>8.4550374848551308E-7</v>
      </c>
      <c r="AB133">
        <f t="shared" si="44"/>
        <v>1.3982621578963728E-5</v>
      </c>
      <c r="AC133">
        <f t="shared" si="45"/>
        <v>1.786023804408922E-4</v>
      </c>
      <c r="AD133">
        <f t="shared" si="46"/>
        <v>1.7355477798052415E-3</v>
      </c>
      <c r="AE133">
        <f t="shared" si="47"/>
        <v>6.8808486332611767E-13</v>
      </c>
      <c r="AG133">
        <f t="shared" si="48"/>
        <v>1.1261835209555209E-3</v>
      </c>
      <c r="AH133">
        <f t="shared" si="49"/>
        <v>4.6834738956466225E-3</v>
      </c>
      <c r="AI133">
        <f t="shared" si="50"/>
        <v>1.7112512959802699E-2</v>
      </c>
      <c r="AJ133">
        <f t="shared" si="51"/>
        <v>5.4533063358120075E-2</v>
      </c>
      <c r="AK133">
        <f t="shared" si="64"/>
        <v>8.0218877147451924E-7</v>
      </c>
    </row>
    <row r="134" spans="1:55" x14ac:dyDescent="0.3">
      <c r="A134">
        <f t="shared" si="68"/>
        <v>124</v>
      </c>
      <c r="O134">
        <f t="shared" si="75"/>
        <v>4.2649621696147527E-4</v>
      </c>
      <c r="P134">
        <f t="shared" si="75"/>
        <v>1.7600478299497123E-3</v>
      </c>
      <c r="Q134">
        <f t="shared" si="75"/>
        <v>6.3800116560915202E-3</v>
      </c>
      <c r="R134">
        <f t="shared" si="75"/>
        <v>2.0163463004899171E-2</v>
      </c>
      <c r="S134">
        <f t="shared" si="75"/>
        <v>3.3033567673323695E-7</v>
      </c>
      <c r="U134">
        <f t="shared" si="38"/>
        <v>4.1607220787544708E-4</v>
      </c>
      <c r="V134">
        <f t="shared" si="39"/>
        <v>1.7370942920986385E-3</v>
      </c>
      <c r="W134">
        <f t="shared" si="40"/>
        <v>6.370093256618508E-3</v>
      </c>
      <c r="X134">
        <f t="shared" si="41"/>
        <v>2.0368490003150646E-2</v>
      </c>
      <c r="Y134">
        <f t="shared" si="42"/>
        <v>2.8288305407721999E-7</v>
      </c>
      <c r="AA134">
        <f t="shared" si="43"/>
        <v>9.7437935511252349E-8</v>
      </c>
      <c r="AB134">
        <f t="shared" si="44"/>
        <v>1.6777263604598164E-6</v>
      </c>
      <c r="AC134">
        <f t="shared" si="45"/>
        <v>2.2290143795840779E-5</v>
      </c>
      <c r="AD134">
        <f t="shared" si="46"/>
        <v>2.2515104902944152E-4</v>
      </c>
      <c r="AE134">
        <f t="shared" si="47"/>
        <v>5.2317229335371042E-14</v>
      </c>
      <c r="AG134">
        <f t="shared" si="48"/>
        <v>3.6151772611508549E-4</v>
      </c>
      <c r="AH134">
        <f t="shared" si="49"/>
        <v>1.5261273214642419E-3</v>
      </c>
      <c r="AI134">
        <f t="shared" si="50"/>
        <v>5.6577164741618809E-3</v>
      </c>
      <c r="AJ134">
        <f t="shared" si="51"/>
        <v>1.8288750979126352E-2</v>
      </c>
      <c r="AK134">
        <f t="shared" si="64"/>
        <v>2.1153905406307347E-7</v>
      </c>
    </row>
    <row r="135" spans="1:55" x14ac:dyDescent="0.3">
      <c r="A135">
        <f t="shared" si="68"/>
        <v>125</v>
      </c>
      <c r="B135" t="s">
        <v>67</v>
      </c>
      <c r="C135">
        <f>LN(C110)</f>
        <v>8.815098712631972</v>
      </c>
      <c r="D135">
        <f t="shared" ref="D135:G135" si="76">LN(D110)</f>
        <v>9.2817221372913501</v>
      </c>
      <c r="E135">
        <f t="shared" si="76"/>
        <v>9.6811429249119119</v>
      </c>
      <c r="F135">
        <f t="shared" si="76"/>
        <v>10.003120544905432</v>
      </c>
      <c r="G135">
        <f t="shared" si="76"/>
        <v>6.5713641424957991</v>
      </c>
      <c r="O135">
        <f t="shared" si="75"/>
        <v>1.4041058621431788E-4</v>
      </c>
      <c r="P135">
        <f t="shared" si="75"/>
        <v>5.9008749650510677E-4</v>
      </c>
      <c r="Q135">
        <f t="shared" si="75"/>
        <v>2.1775640722396863E-3</v>
      </c>
      <c r="R135">
        <f t="shared" si="75"/>
        <v>7.0049746109179583E-3</v>
      </c>
      <c r="S135">
        <f t="shared" si="75"/>
        <v>8.8126114786257362E-8</v>
      </c>
      <c r="U135">
        <f t="shared" si="38"/>
        <v>1.3261880628755054E-4</v>
      </c>
      <c r="V135">
        <f t="shared" si="39"/>
        <v>5.6202662887122894E-4</v>
      </c>
      <c r="W135">
        <f t="shared" si="40"/>
        <v>2.0913053924529051E-3</v>
      </c>
      <c r="X135">
        <f t="shared" si="41"/>
        <v>6.7842711952420809E-3</v>
      </c>
      <c r="Y135">
        <f t="shared" si="42"/>
        <v>7.36521583174728E-8</v>
      </c>
      <c r="AA135">
        <f t="shared" si="43"/>
        <v>1.0271688962836411E-8</v>
      </c>
      <c r="AB135">
        <f t="shared" si="44"/>
        <v>1.8287508214427404E-7</v>
      </c>
      <c r="AC135">
        <f t="shared" si="45"/>
        <v>2.510404401391424E-6</v>
      </c>
      <c r="AD135">
        <f t="shared" si="46"/>
        <v>2.6191230340426532E-5</v>
      </c>
      <c r="AE135">
        <f t="shared" si="47"/>
        <v>3.6508722700658814E-15</v>
      </c>
      <c r="AG135">
        <f t="shared" si="48"/>
        <v>1.1101268826251644E-4</v>
      </c>
      <c r="AH135">
        <f t="shared" si="49"/>
        <v>4.7406355543302514E-4</v>
      </c>
      <c r="AI135">
        <f t="shared" si="50"/>
        <v>1.7772211149471603E-3</v>
      </c>
      <c r="AJ135">
        <f t="shared" si="51"/>
        <v>5.8089110794284221E-3</v>
      </c>
      <c r="AK135">
        <f t="shared" si="64"/>
        <v>5.3455578027975371E-8</v>
      </c>
    </row>
    <row r="136" spans="1:55" x14ac:dyDescent="0.3">
      <c r="A136">
        <f t="shared" si="68"/>
        <v>126</v>
      </c>
      <c r="B136" t="s">
        <v>68</v>
      </c>
      <c r="C136">
        <f>LN(C120)</f>
        <v>3.8121117792114378</v>
      </c>
      <c r="D136">
        <f t="shared" ref="D136:G136" si="77">LN(D120)</f>
        <v>4.7294024885120223</v>
      </c>
      <c r="E136">
        <f t="shared" si="77"/>
        <v>5.5401287289816024</v>
      </c>
      <c r="F136">
        <f t="shared" si="77"/>
        <v>6.2359242106560071</v>
      </c>
      <c r="G136">
        <f t="shared" si="77"/>
        <v>-0.37398383850980221</v>
      </c>
      <c r="O136">
        <f t="shared" si="75"/>
        <v>4.4111529153151362E-5</v>
      </c>
      <c r="P136">
        <f t="shared" si="75"/>
        <v>1.8805853297294243E-4</v>
      </c>
      <c r="Q136">
        <f t="shared" si="75"/>
        <v>7.0381979608269429E-4</v>
      </c>
      <c r="R136">
        <f t="shared" si="75"/>
        <v>2.2961616823085687E-3</v>
      </c>
      <c r="S136">
        <f t="shared" si="75"/>
        <v>2.2483959957078903E-8</v>
      </c>
      <c r="U136">
        <f t="shared" si="38"/>
        <v>4.0357748603815933E-5</v>
      </c>
      <c r="V136">
        <f t="shared" si="39"/>
        <v>1.7295361413220434E-4</v>
      </c>
      <c r="W136">
        <f t="shared" si="40"/>
        <v>6.5061345829171466E-4</v>
      </c>
      <c r="X136">
        <f t="shared" si="41"/>
        <v>2.1337030486288174E-3</v>
      </c>
      <c r="Y136">
        <f t="shared" si="42"/>
        <v>1.8347120945804666E-8</v>
      </c>
      <c r="AA136">
        <f t="shared" si="43"/>
        <v>9.8679383200918631E-10</v>
      </c>
      <c r="AB136">
        <f t="shared" si="44"/>
        <v>1.8028330719598574E-8</v>
      </c>
      <c r="AC136">
        <f t="shared" si="45"/>
        <v>2.5381763627552085E-7</v>
      </c>
      <c r="AD136">
        <f t="shared" si="46"/>
        <v>2.7157029877460273E-6</v>
      </c>
      <c r="AE136">
        <f t="shared" si="47"/>
        <v>2.3315073716611952E-16</v>
      </c>
      <c r="AG136">
        <f t="shared" si="48"/>
        <v>3.254933223859707E-5</v>
      </c>
      <c r="AH136">
        <f t="shared" si="49"/>
        <v>1.4007584755898887E-4</v>
      </c>
      <c r="AI136">
        <f t="shared" si="50"/>
        <v>5.2907371258793323E-4</v>
      </c>
      <c r="AJ136">
        <f t="shared" si="51"/>
        <v>1.7423250348770885E-3</v>
      </c>
      <c r="AK136">
        <f t="shared" si="64"/>
        <v>1.2926117965434846E-8</v>
      </c>
    </row>
    <row r="137" spans="1:55" x14ac:dyDescent="0.3">
      <c r="A137">
        <f t="shared" si="68"/>
        <v>127</v>
      </c>
      <c r="B137" t="s">
        <v>69</v>
      </c>
      <c r="C137">
        <f>LN(C130)</f>
        <v>-3.7472168066206093</v>
      </c>
      <c r="D137">
        <f t="shared" ref="D137:G137" si="78">LN(D130)</f>
        <v>-2.4345581331548245</v>
      </c>
      <c r="E137">
        <f t="shared" si="78"/>
        <v>-1.2488129357724727</v>
      </c>
      <c r="F137">
        <f t="shared" si="78"/>
        <v>-0.19790510696126215</v>
      </c>
      <c r="G137">
        <f t="shared" si="78"/>
        <v>-10.055604193757169</v>
      </c>
      <c r="O137">
        <f t="shared" si="75"/>
        <v>1.3198214750548935E-5</v>
      </c>
      <c r="P137">
        <f t="shared" si="75"/>
        <v>5.6837262946238986E-5</v>
      </c>
      <c r="Q137">
        <f t="shared" si="75"/>
        <v>2.1482958866166589E-4</v>
      </c>
      <c r="R137">
        <f t="shared" si="75"/>
        <v>7.0788835273129637E-4</v>
      </c>
      <c r="S137">
        <f t="shared" si="75"/>
        <v>5.4777909645263998E-9</v>
      </c>
      <c r="U137">
        <f t="shared" si="38"/>
        <v>1.1702876651965783E-5</v>
      </c>
      <c r="V137">
        <f t="shared" si="39"/>
        <v>5.0505716172613636E-5</v>
      </c>
      <c r="W137">
        <f t="shared" si="40"/>
        <v>1.9128876591953463E-4</v>
      </c>
      <c r="X137">
        <f t="shared" si="41"/>
        <v>6.3167803110888467E-4</v>
      </c>
      <c r="Y137">
        <f t="shared" si="42"/>
        <v>4.3662454850020141E-9</v>
      </c>
      <c r="AA137">
        <f t="shared" si="43"/>
        <v>8.6056061486079277E-11</v>
      </c>
      <c r="AB137">
        <f t="shared" si="44"/>
        <v>1.599924529257816E-9</v>
      </c>
      <c r="AC137">
        <f t="shared" si="45"/>
        <v>2.2912511339917923E-8</v>
      </c>
      <c r="AD137">
        <f t="shared" si="46"/>
        <v>2.4940615370306713E-7</v>
      </c>
      <c r="AE137">
        <f t="shared" si="47"/>
        <v>1.3585043198707927E-17</v>
      </c>
      <c r="AG137">
        <f t="shared" si="48"/>
        <v>9.0951291442564157E-6</v>
      </c>
      <c r="AH137">
        <f t="shared" si="49"/>
        <v>3.928128824213851E-5</v>
      </c>
      <c r="AI137">
        <f t="shared" si="50"/>
        <v>1.4887178443406091E-4</v>
      </c>
      <c r="AJ137">
        <f t="shared" si="51"/>
        <v>4.9199060580634377E-4</v>
      </c>
      <c r="AK137">
        <f t="shared" si="64"/>
        <v>2.9866154994108811E-9</v>
      </c>
    </row>
    <row r="138" spans="1:55" x14ac:dyDescent="0.3">
      <c r="A138">
        <f t="shared" si="68"/>
        <v>128</v>
      </c>
      <c r="O138">
        <f t="shared" si="75"/>
        <v>3.7531524656053098E-6</v>
      </c>
      <c r="P138">
        <f t="shared" si="75"/>
        <v>1.6250553937245949E-5</v>
      </c>
      <c r="Q138">
        <f t="shared" si="75"/>
        <v>6.1746032349011085E-5</v>
      </c>
      <c r="R138">
        <f t="shared" si="75"/>
        <v>2.0456394773815916E-4</v>
      </c>
      <c r="S138">
        <f t="shared" si="75"/>
        <v>1.2724065908050904E-9</v>
      </c>
      <c r="U138">
        <f t="shared" ref="U138:U158" si="79">U139+0.5*O138+0.5*O139</f>
        <v>3.2271930438886617E-6</v>
      </c>
      <c r="V138">
        <f t="shared" ref="V138:V158" si="80">V139+0.5*P138+0.5*P139</f>
        <v>1.3961807730871172E-5</v>
      </c>
      <c r="W138">
        <f t="shared" ref="W138:W158" si="81">W139+0.5*Q138+0.5*Q139</f>
        <v>5.3000955414196163E-5</v>
      </c>
      <c r="X138">
        <f t="shared" ref="X138:X158" si="82">X139+0.5*R138+0.5*R139</f>
        <v>1.7545188087415687E-4</v>
      </c>
      <c r="Y138">
        <f t="shared" ref="Y138:Y158" si="83">Y139+0.5*S138+0.5*S139</f>
        <v>9.911467073362688E-10</v>
      </c>
      <c r="AA138">
        <f t="shared" ref="AA138:AA158" si="84">AA139+(O138^2+O138*O139+O139^2)/3</f>
        <v>6.7847487313133383E-12</v>
      </c>
      <c r="AB138">
        <f t="shared" ref="AB138:AB159" si="85">AB139+(P138^2+P138*P139+P139^2)/3</f>
        <v>1.2719387271096982E-10</v>
      </c>
      <c r="AC138">
        <f t="shared" ref="AC138:AC159" si="86">AC139+(Q138^2+Q138*Q139+Q139^2)/3</f>
        <v>1.8361115377800371E-9</v>
      </c>
      <c r="AD138">
        <f t="shared" ref="AD138:AD159" si="87">AD139+(R138^2+R138*R139+R139^2)/3</f>
        <v>2.0152565489925391E-8</v>
      </c>
      <c r="AE138">
        <f t="shared" ref="AE138:AE159" si="88">AE139+(S138^2+S138*S139+S139^2)/3</f>
        <v>7.1997996214550756E-19</v>
      </c>
      <c r="AG138">
        <f t="shared" ref="AG138:AG159" si="89">AG139+U139+(O138+2*O139)/6</f>
        <v>2.4171828200744943E-6</v>
      </c>
      <c r="AH138">
        <f t="shared" ref="AH138:AH159" si="90">AH139+V139+(P138+2*P139)/6</f>
        <v>1.042975204114552E-5</v>
      </c>
      <c r="AI138">
        <f t="shared" ref="AI138:AI159" si="91">AI139+W139+(Q138+2*Q139)/6</f>
        <v>3.9483886793250067E-5</v>
      </c>
      <c r="AJ138">
        <f t="shared" ref="AJ138:AJ159" si="92">AJ139+X139+(R138+2*R139)/6</f>
        <v>1.3036935023091778E-4</v>
      </c>
      <c r="AK138">
        <f t="shared" si="64"/>
        <v>6.5836810105184895E-10</v>
      </c>
    </row>
    <row r="139" spans="1:55" x14ac:dyDescent="0.3">
      <c r="A139">
        <f t="shared" si="68"/>
        <v>129</v>
      </c>
      <c r="B139" t="s">
        <v>70</v>
      </c>
      <c r="C139">
        <f>C135-C136</f>
        <v>5.0029869334205337</v>
      </c>
      <c r="D139">
        <f t="shared" ref="D139:G140" si="93">D135-D136</f>
        <v>4.5523196487793278</v>
      </c>
      <c r="E139">
        <f t="shared" si="93"/>
        <v>4.1410141959303095</v>
      </c>
      <c r="F139">
        <f t="shared" si="93"/>
        <v>3.7671963342494248</v>
      </c>
      <c r="G139">
        <f t="shared" si="93"/>
        <v>6.9453479810056011</v>
      </c>
      <c r="O139">
        <f t="shared" si="75"/>
        <v>1.0121961036743718E-6</v>
      </c>
      <c r="P139">
        <f t="shared" si="75"/>
        <v>4.3840948184413843E-6</v>
      </c>
      <c r="Q139">
        <f t="shared" si="75"/>
        <v>1.6660298230884151E-5</v>
      </c>
      <c r="R139">
        <f t="shared" si="75"/>
        <v>5.5214172263734429E-5</v>
      </c>
      <c r="S139">
        <f t="shared" si="75"/>
        <v>2.8134204723897722E-10</v>
      </c>
      <c r="U139">
        <f t="shared" si="79"/>
        <v>8.44518759248821E-7</v>
      </c>
      <c r="V139">
        <f t="shared" si="80"/>
        <v>3.6444833530275054E-6</v>
      </c>
      <c r="W139">
        <f t="shared" si="81"/>
        <v>1.3797790124248545E-5</v>
      </c>
      <c r="X139">
        <f t="shared" si="82"/>
        <v>4.5562820873210079E-5</v>
      </c>
      <c r="Y139">
        <f t="shared" si="83"/>
        <v>2.1427238831423499E-10</v>
      </c>
      <c r="AA139">
        <f t="shared" si="84"/>
        <v>4.8154183646188746E-13</v>
      </c>
      <c r="AB139">
        <f t="shared" si="85"/>
        <v>9.0122860584676358E-12</v>
      </c>
      <c r="AC139">
        <f t="shared" si="86"/>
        <v>1.2982975061488065E-10</v>
      </c>
      <c r="AD139">
        <f t="shared" si="87"/>
        <v>1.4226179624740774E-9</v>
      </c>
      <c r="AE139">
        <f t="shared" si="88"/>
        <v>3.459551046339975E-20</v>
      </c>
      <c r="AG139">
        <f t="shared" si="89"/>
        <v>6.097399486666644E-7</v>
      </c>
      <c r="AH139">
        <f t="shared" si="90"/>
        <v>2.615478092429895E-6</v>
      </c>
      <c r="AI139">
        <f t="shared" si="91"/>
        <v>9.8416585338716219E-6</v>
      </c>
      <c r="AJ139">
        <f t="shared" si="92"/>
        <v>3.2307813980103034E-5</v>
      </c>
      <c r="AK139">
        <f t="shared" ref="AK139:AK159" si="94">AK140+Y140+(S139+2*S140)/6</f>
        <v>1.3824726519043988E-10</v>
      </c>
    </row>
    <row r="140" spans="1:55" x14ac:dyDescent="0.3">
      <c r="A140">
        <f t="shared" ref="A140:A160" si="95">A139+1</f>
        <v>130</v>
      </c>
      <c r="C140">
        <f t="shared" ref="C140:F140" si="96">C136-C137</f>
        <v>7.5593285858320467</v>
      </c>
      <c r="D140">
        <f t="shared" si="96"/>
        <v>7.1639606216668472</v>
      </c>
      <c r="E140">
        <f t="shared" si="96"/>
        <v>6.7889416647540752</v>
      </c>
      <c r="F140">
        <f t="shared" si="96"/>
        <v>6.4338293176172696</v>
      </c>
      <c r="G140">
        <f t="shared" si="93"/>
        <v>9.6816203552473663</v>
      </c>
      <c r="O140">
        <f t="shared" si="75"/>
        <v>2.5831572253850034E-7</v>
      </c>
      <c r="P140">
        <f t="shared" si="75"/>
        <v>1.1130084198304177E-6</v>
      </c>
      <c r="Q140">
        <f t="shared" si="75"/>
        <v>4.206535728369432E-6</v>
      </c>
      <c r="R140">
        <f t="shared" si="75"/>
        <v>1.3867537413558416E-5</v>
      </c>
      <c r="S140">
        <f t="shared" si="75"/>
        <v>5.9116471756256955E-11</v>
      </c>
      <c r="U140">
        <f t="shared" si="79"/>
        <v>2.092628461423849E-7</v>
      </c>
      <c r="V140">
        <f t="shared" si="80"/>
        <v>8.9593173389160434E-7</v>
      </c>
      <c r="W140">
        <f t="shared" si="81"/>
        <v>3.3643731446217534E-6</v>
      </c>
      <c r="X140">
        <f t="shared" si="82"/>
        <v>1.1021966034563656E-5</v>
      </c>
      <c r="Y140">
        <f t="shared" si="83"/>
        <v>4.4043128816617917E-11</v>
      </c>
      <c r="AA140">
        <f t="shared" si="84"/>
        <v>3.0630458903398319E-14</v>
      </c>
      <c r="AB140">
        <f t="shared" si="85"/>
        <v>5.6608286981491465E-13</v>
      </c>
      <c r="AC140">
        <f t="shared" si="86"/>
        <v>8.0488773716958945E-12</v>
      </c>
      <c r="AD140">
        <f t="shared" si="87"/>
        <v>8.7085291703484175E-11</v>
      </c>
      <c r="AE140">
        <f t="shared" si="88"/>
        <v>1.502159141073843E-21</v>
      </c>
      <c r="AG140">
        <f t="shared" si="89"/>
        <v>1.4567251106571743E-7</v>
      </c>
      <c r="AH140">
        <f t="shared" si="90"/>
        <v>6.1786108218792052E-7</v>
      </c>
      <c r="AI140">
        <f t="shared" si="91"/>
        <v>2.2983904413126998E-6</v>
      </c>
      <c r="AJ140">
        <f t="shared" si="92"/>
        <v>7.4609734303974979E-6</v>
      </c>
      <c r="AK140">
        <f t="shared" si="94"/>
        <v>2.760830458190678E-11</v>
      </c>
    </row>
    <row r="141" spans="1:55" x14ac:dyDescent="0.3">
      <c r="A141">
        <f t="shared" si="95"/>
        <v>131</v>
      </c>
      <c r="O141">
        <f t="shared" si="75"/>
        <v>6.2236358158068515E-8</v>
      </c>
      <c r="P141">
        <f t="shared" si="75"/>
        <v>2.6515475394621696E-7</v>
      </c>
      <c r="Q141">
        <f t="shared" si="75"/>
        <v>9.9054304276766591E-7</v>
      </c>
      <c r="R141">
        <f t="shared" si="75"/>
        <v>3.2281670206856652E-6</v>
      </c>
      <c r="S141">
        <f t="shared" si="75"/>
        <v>1.1784195151346424E-11</v>
      </c>
      <c r="U141">
        <f t="shared" si="79"/>
        <v>4.8986805794100483E-8</v>
      </c>
      <c r="V141">
        <f t="shared" si="80"/>
        <v>2.06850147003287E-7</v>
      </c>
      <c r="W141">
        <f t="shared" si="81"/>
        <v>7.6583375905320457E-7</v>
      </c>
      <c r="X141">
        <f t="shared" si="82"/>
        <v>2.4741138174416157E-6</v>
      </c>
      <c r="Y141">
        <f t="shared" si="83"/>
        <v>8.5927953628162258E-12</v>
      </c>
      <c r="AA141">
        <f t="shared" si="84"/>
        <v>1.7381233656872388E-15</v>
      </c>
      <c r="AB141">
        <f t="shared" si="85"/>
        <v>3.1344783196953229E-14</v>
      </c>
      <c r="AC141">
        <f t="shared" si="86"/>
        <v>4.3458635385791896E-13</v>
      </c>
      <c r="AD141">
        <f t="shared" si="87"/>
        <v>4.5864973146645434E-12</v>
      </c>
      <c r="AE141">
        <f t="shared" si="88"/>
        <v>5.8737631704465108E-23</v>
      </c>
      <c r="AG141">
        <f t="shared" si="89"/>
        <v>3.2887632129177393E-8</v>
      </c>
      <c r="AH141">
        <f t="shared" si="90"/>
        <v>1.371246138974916E-7</v>
      </c>
      <c r="AI141">
        <f t="shared" si="91"/>
        <v>5.0128637994203447E-7</v>
      </c>
      <c r="AJ141">
        <f t="shared" si="92"/>
        <v>1.5995477038009243E-6</v>
      </c>
      <c r="AK141">
        <f t="shared" si="94"/>
        <v>5.2346988759322552E-12</v>
      </c>
    </row>
    <row r="142" spans="1:55" x14ac:dyDescent="0.3">
      <c r="A142">
        <f t="shared" si="95"/>
        <v>132</v>
      </c>
      <c r="B142" t="s">
        <v>71</v>
      </c>
      <c r="C142">
        <f>C140/C139</f>
        <v>1.5109630879374987</v>
      </c>
      <c r="D142">
        <f t="shared" ref="D142:G142" si="97">D140/D139</f>
        <v>1.573694550115305</v>
      </c>
      <c r="E142">
        <f t="shared" si="97"/>
        <v>1.6394393603929409</v>
      </c>
      <c r="F142">
        <f t="shared" si="97"/>
        <v>1.7078561207771892</v>
      </c>
      <c r="G142">
        <f t="shared" si="97"/>
        <v>1.3939719624884204</v>
      </c>
      <c r="O142">
        <f t="shared" si="75"/>
        <v>1.4121846804534068E-8</v>
      </c>
      <c r="P142">
        <f t="shared" si="75"/>
        <v>5.910194419232086E-8</v>
      </c>
      <c r="Q142">
        <f t="shared" si="75"/>
        <v>2.1676736490976187E-7</v>
      </c>
      <c r="R142">
        <f t="shared" si="75"/>
        <v>6.9359593114372442E-7</v>
      </c>
      <c r="S142">
        <f t="shared" si="75"/>
        <v>2.2245188085114987E-12</v>
      </c>
      <c r="U142">
        <f t="shared" si="79"/>
        <v>1.0807703312799189E-8</v>
      </c>
      <c r="V142">
        <f t="shared" si="80"/>
        <v>4.4721797934018089E-8</v>
      </c>
      <c r="W142">
        <f t="shared" si="81"/>
        <v>1.621785552144907E-7</v>
      </c>
      <c r="X142">
        <f t="shared" si="82"/>
        <v>5.1323234152692058E-7</v>
      </c>
      <c r="Y142">
        <f t="shared" si="83"/>
        <v>1.5884383828872648E-12</v>
      </c>
      <c r="AA142">
        <f t="shared" si="84"/>
        <v>8.756231584374943E-17</v>
      </c>
      <c r="AB142">
        <f t="shared" si="85"/>
        <v>1.5210349244035775E-15</v>
      </c>
      <c r="AC142">
        <f t="shared" si="86"/>
        <v>2.0292682099321559E-14</v>
      </c>
      <c r="AD142">
        <f t="shared" si="87"/>
        <v>2.0610360141733213E-13</v>
      </c>
      <c r="AE142">
        <f t="shared" si="88"/>
        <v>2.0609973538723977E-24</v>
      </c>
      <c r="AG142">
        <f t="shared" si="89"/>
        <v>6.9999201885221014E-9</v>
      </c>
      <c r="AH142">
        <f t="shared" si="90"/>
        <v>2.8509708908330414E-8</v>
      </c>
      <c r="AI142">
        <f t="shared" si="91"/>
        <v>1.0176152929634553E-7</v>
      </c>
      <c r="AJ142">
        <f t="shared" si="92"/>
        <v>3.170888817784848E-7</v>
      </c>
      <c r="AK142">
        <f t="shared" si="94"/>
        <v>9.4072169831675311E-13</v>
      </c>
    </row>
    <row r="143" spans="1:55" x14ac:dyDescent="0.3">
      <c r="A143">
        <f t="shared" si="95"/>
        <v>133</v>
      </c>
      <c r="B143" t="s">
        <v>1</v>
      </c>
      <c r="C143">
        <f>LN(C142)/10</f>
        <v>4.1274725409578508E-2</v>
      </c>
      <c r="D143">
        <f t="shared" ref="D143:G143" si="98">LN(D142)/10</f>
        <v>4.5342607151600031E-2</v>
      </c>
      <c r="E143">
        <f t="shared" si="98"/>
        <v>4.943543299719684E-2</v>
      </c>
      <c r="F143">
        <f t="shared" si="98"/>
        <v>5.3523885339727365E-2</v>
      </c>
      <c r="G143">
        <f t="shared" si="98"/>
        <v>3.3215719914353833E-2</v>
      </c>
      <c r="O143">
        <f t="shared" si="75"/>
        <v>3.0101994900351326E-9</v>
      </c>
      <c r="P143">
        <f t="shared" si="75"/>
        <v>1.2287541520599706E-8</v>
      </c>
      <c r="Q143">
        <f t="shared" si="75"/>
        <v>4.3921102975703849E-8</v>
      </c>
      <c r="R143">
        <f t="shared" si="75"/>
        <v>1.3694218442225078E-7</v>
      </c>
      <c r="S143">
        <f t="shared" si="75"/>
        <v>3.9693377360156693E-13</v>
      </c>
      <c r="U143">
        <f t="shared" si="79"/>
        <v>2.2416801655145897E-9</v>
      </c>
      <c r="V143">
        <f t="shared" si="80"/>
        <v>9.0270550775578022E-9</v>
      </c>
      <c r="W143">
        <f t="shared" si="81"/>
        <v>3.1834321271757854E-8</v>
      </c>
      <c r="X143">
        <f t="shared" si="82"/>
        <v>9.796328374393294E-8</v>
      </c>
      <c r="Y143">
        <f t="shared" si="83"/>
        <v>2.777120918307321E-13</v>
      </c>
      <c r="AA143">
        <f t="shared" si="84"/>
        <v>3.8965044471162419E-18</v>
      </c>
      <c r="AB143">
        <f t="shared" si="85"/>
        <v>6.4287898688917429E-17</v>
      </c>
      <c r="AC143">
        <f t="shared" si="86"/>
        <v>8.1341025515560093E-16</v>
      </c>
      <c r="AD143">
        <f t="shared" si="87"/>
        <v>7.8332615871072908E-15</v>
      </c>
      <c r="AE143">
        <f t="shared" si="88"/>
        <v>6.4655022153354898E-26</v>
      </c>
      <c r="AG143">
        <f t="shared" si="89"/>
        <v>1.4011990589067894E-9</v>
      </c>
      <c r="AH143">
        <f t="shared" si="90"/>
        <v>5.5364826251859017E-9</v>
      </c>
      <c r="AI143">
        <f t="shared" si="91"/>
        <v>1.915894621439275E-8</v>
      </c>
      <c r="AJ143">
        <f t="shared" si="92"/>
        <v>5.7878881369847517E-8</v>
      </c>
      <c r="AK143">
        <f t="shared" si="94"/>
        <v>1.5994521386691546E-13</v>
      </c>
    </row>
    <row r="144" spans="1:55" x14ac:dyDescent="0.3">
      <c r="A144">
        <f t="shared" si="95"/>
        <v>134</v>
      </c>
      <c r="O144">
        <f t="shared" si="75"/>
        <v>6.01189978621869E-10</v>
      </c>
      <c r="P144">
        <f t="shared" si="75"/>
        <v>2.3751247750568879E-9</v>
      </c>
      <c r="Q144">
        <f t="shared" si="75"/>
        <v>8.2076087497630177E-9</v>
      </c>
      <c r="R144">
        <f t="shared" si="75"/>
        <v>2.4730289664361057E-8</v>
      </c>
      <c r="S144">
        <f t="shared" si="75"/>
        <v>6.6822071486790463E-14</v>
      </c>
      <c r="U144">
        <f t="shared" si="79"/>
        <v>4.3598543118608887E-10</v>
      </c>
      <c r="V144">
        <f t="shared" si="80"/>
        <v>1.6957219297295055E-9</v>
      </c>
      <c r="W144">
        <f t="shared" si="81"/>
        <v>5.7699654090244175E-9</v>
      </c>
      <c r="X144">
        <f t="shared" si="82"/>
        <v>1.7127046700627021E-8</v>
      </c>
      <c r="Y144">
        <f t="shared" si="83"/>
        <v>4.5834169286553382E-14</v>
      </c>
      <c r="AA144">
        <f t="shared" si="84"/>
        <v>1.5236040469460278E-19</v>
      </c>
      <c r="AB144">
        <f t="shared" si="85"/>
        <v>2.3514524863616521E-18</v>
      </c>
      <c r="AC144">
        <f t="shared" si="86"/>
        <v>2.7771802797535051E-17</v>
      </c>
      <c r="AD144">
        <f t="shared" si="87"/>
        <v>2.4947192402276807E-16</v>
      </c>
      <c r="AE144">
        <f t="shared" si="88"/>
        <v>1.8065065338578497E-27</v>
      </c>
      <c r="AG144">
        <f t="shared" si="89"/>
        <v>2.6311705317422217E-10</v>
      </c>
      <c r="AH144">
        <f t="shared" si="90"/>
        <v>1.0011288503374825E-9</v>
      </c>
      <c r="AI144">
        <f t="shared" si="91"/>
        <v>3.3329273928300158E-9</v>
      </c>
      <c r="AJ144">
        <f t="shared" si="92"/>
        <v>9.6847073773916779E-9</v>
      </c>
      <c r="AK144">
        <f t="shared" si="94"/>
        <v>2.5681391817837419E-14</v>
      </c>
    </row>
    <row r="145" spans="1:37" x14ac:dyDescent="0.3">
      <c r="A145">
        <f t="shared" si="95"/>
        <v>135</v>
      </c>
      <c r="B145" t="s">
        <v>0</v>
      </c>
      <c r="C145">
        <f>C139/(C142^11-C142^10)</f>
        <v>0.15787061183867473</v>
      </c>
      <c r="D145">
        <f t="shared" ref="D145:G145" si="99">D139/(D142^11-D142^10)</f>
        <v>8.5181957650975706E-2</v>
      </c>
      <c r="E145">
        <f t="shared" si="99"/>
        <v>4.6169351840903816E-2</v>
      </c>
      <c r="F145">
        <f t="shared" si="99"/>
        <v>2.5209280916874632E-2</v>
      </c>
      <c r="G145">
        <f t="shared" si="99"/>
        <v>0.63633865699011694</v>
      </c>
      <c r="O145">
        <f t="shared" si="75"/>
        <v>1.1218863873417952E-10</v>
      </c>
      <c r="P145">
        <f t="shared" si="75"/>
        <v>4.2540081339587982E-10</v>
      </c>
      <c r="Q145">
        <f t="shared" si="75"/>
        <v>1.408781085117722E-9</v>
      </c>
      <c r="R145">
        <f t="shared" si="75"/>
        <v>4.064924194045342E-9</v>
      </c>
      <c r="S145">
        <f t="shared" si="75"/>
        <v>1.0592242855301763E-14</v>
      </c>
      <c r="U145">
        <f t="shared" si="79"/>
        <v>7.9296122508064644E-11</v>
      </c>
      <c r="V145">
        <f t="shared" si="80"/>
        <v>2.9545913550312145E-10</v>
      </c>
      <c r="W145">
        <f t="shared" si="81"/>
        <v>9.6177049158404776E-10</v>
      </c>
      <c r="X145">
        <f t="shared" si="82"/>
        <v>2.7294397714238223E-9</v>
      </c>
      <c r="Y145">
        <f t="shared" si="83"/>
        <v>7.1270121155072749E-15</v>
      </c>
      <c r="AA145">
        <f t="shared" si="84"/>
        <v>5.2062825683996041E-21</v>
      </c>
      <c r="AB145">
        <f t="shared" si="85"/>
        <v>7.3931299577380368E-20</v>
      </c>
      <c r="AC145">
        <f t="shared" si="86"/>
        <v>8.0105963230679668E-19</v>
      </c>
      <c r="AD145">
        <f t="shared" si="87"/>
        <v>6.5927278997849978E-18</v>
      </c>
      <c r="AE145">
        <f t="shared" si="88"/>
        <v>4.4779715266567439E-29</v>
      </c>
      <c r="AG145">
        <f t="shared" si="89"/>
        <v>4.6226387984452837E-11</v>
      </c>
      <c r="AH145">
        <f t="shared" si="90"/>
        <v>1.6801531452625313E-10</v>
      </c>
      <c r="AI145">
        <f t="shared" si="91"/>
        <v>5.3362841457955776E-10</v>
      </c>
      <c r="AJ145">
        <f t="shared" si="92"/>
        <v>1.4785779305592309E-9</v>
      </c>
      <c r="AK145">
        <f t="shared" si="94"/>
        <v>3.8866201694311485E-15</v>
      </c>
    </row>
    <row r="146" spans="1:37" x14ac:dyDescent="0.3">
      <c r="A146">
        <f t="shared" si="95"/>
        <v>136</v>
      </c>
      <c r="C146">
        <f>C140/(C142^12-C142^11)</f>
        <v>0.15787061183867471</v>
      </c>
      <c r="D146">
        <f>D140/(D142^12-D142^11)</f>
        <v>8.5181957650975748E-2</v>
      </c>
      <c r="E146">
        <f>E140/(E142^12-E142^11)</f>
        <v>4.6169351840903816E-2</v>
      </c>
      <c r="F146">
        <f>F140/(F142^12-F142^11)</f>
        <v>2.5209280916874636E-2</v>
      </c>
      <c r="G146">
        <f>G140/(G142^12-G142^11)</f>
        <v>0.63633865699011671</v>
      </c>
      <c r="O146">
        <f t="shared" si="75"/>
        <v>1.9505833165354294E-11</v>
      </c>
      <c r="P146">
        <f t="shared" si="75"/>
        <v>7.0350117564025034E-11</v>
      </c>
      <c r="Q146">
        <f t="shared" si="75"/>
        <v>2.211479862804485E-10</v>
      </c>
      <c r="R146">
        <f t="shared" si="75"/>
        <v>6.0500636454409269E-10</v>
      </c>
      <c r="S146">
        <f t="shared" si="75"/>
        <v>1.5777544157016573E-15</v>
      </c>
      <c r="U146">
        <f t="shared" si="79"/>
        <v>1.3448886558297733E-11</v>
      </c>
      <c r="V146">
        <f t="shared" si="80"/>
        <v>4.758367002316901E-11</v>
      </c>
      <c r="W146">
        <f t="shared" si="81"/>
        <v>1.4680595588496262E-10</v>
      </c>
      <c r="X146">
        <f t="shared" si="82"/>
        <v>3.9447449212910523E-10</v>
      </c>
      <c r="Y146">
        <f t="shared" si="83"/>
        <v>1.0420134800055651E-15</v>
      </c>
      <c r="AA146">
        <f t="shared" si="84"/>
        <v>1.5458221549960688E-22</v>
      </c>
      <c r="AB146">
        <f t="shared" si="85"/>
        <v>1.9839701395869272E-21</v>
      </c>
      <c r="AC146">
        <f t="shared" si="86"/>
        <v>1.9353073071752316E-20</v>
      </c>
      <c r="AD146">
        <f t="shared" si="87"/>
        <v>1.4307909536475398E-19</v>
      </c>
      <c r="AE146">
        <f t="shared" si="88"/>
        <v>9.8075672020277427E-31</v>
      </c>
      <c r="AG146">
        <f t="shared" si="89"/>
        <v>7.5774505820070895E-12</v>
      </c>
      <c r="AH146">
        <f t="shared" si="90"/>
        <v>2.6081469749095819E-11</v>
      </c>
      <c r="AI146">
        <f t="shared" si="91"/>
        <v>7.8309615748158604E-11</v>
      </c>
      <c r="AJ146">
        <f t="shared" si="92"/>
        <v>2.0494728457453785E-10</v>
      </c>
      <c r="AK146">
        <f t="shared" si="94"/>
        <v>5.5331474164140423E-16</v>
      </c>
    </row>
    <row r="147" spans="1:37" x14ac:dyDescent="0.3">
      <c r="A147">
        <f t="shared" si="95"/>
        <v>137</v>
      </c>
      <c r="O147">
        <f t="shared" si="75"/>
        <v>3.1503881023090343E-12</v>
      </c>
      <c r="P147">
        <f t="shared" si="75"/>
        <v>1.0702343696619161E-11</v>
      </c>
      <c r="Q147">
        <f t="shared" si="75"/>
        <v>3.1605991548676953E-11</v>
      </c>
      <c r="R147">
        <f t="shared" si="75"/>
        <v>8.109257327237095E-11</v>
      </c>
      <c r="S147">
        <f t="shared" si="75"/>
        <v>2.2037479226324383E-16</v>
      </c>
      <c r="U147">
        <f t="shared" si="79"/>
        <v>2.1207759244660689E-12</v>
      </c>
      <c r="V147">
        <f t="shared" si="80"/>
        <v>7.0574393928469083E-12</v>
      </c>
      <c r="W147">
        <f t="shared" si="81"/>
        <v>2.0428966970399916E-11</v>
      </c>
      <c r="X147">
        <f t="shared" si="82"/>
        <v>5.1425023220873424E-11</v>
      </c>
      <c r="Y147">
        <f t="shared" si="83"/>
        <v>1.4294887602311457E-16</v>
      </c>
      <c r="AA147">
        <f t="shared" si="84"/>
        <v>3.9644096997525597E-24</v>
      </c>
      <c r="AB147">
        <f t="shared" si="85"/>
        <v>4.5106693206770977E-23</v>
      </c>
      <c r="AC147">
        <f t="shared" si="86"/>
        <v>3.8808243073256584E-22</v>
      </c>
      <c r="AD147">
        <f t="shared" si="87"/>
        <v>2.5223521894749608E-21</v>
      </c>
      <c r="AE147">
        <f t="shared" si="88"/>
        <v>1.8899604558169585E-32</v>
      </c>
      <c r="AG147">
        <f t="shared" si="89"/>
        <v>1.1555730958789598E-12</v>
      </c>
      <c r="AH147">
        <f t="shared" si="90"/>
        <v>3.7315628633716819E-12</v>
      </c>
      <c r="AI147">
        <f t="shared" si="91"/>
        <v>1.0487320548124966E-11</v>
      </c>
      <c r="AJ147">
        <f t="shared" si="92"/>
        <v>2.5657009505525335E-11</v>
      </c>
      <c r="AK147">
        <f t="shared" si="94"/>
        <v>7.3948532246932094E-17</v>
      </c>
    </row>
    <row r="148" spans="1:37" x14ac:dyDescent="0.3">
      <c r="A148">
        <f t="shared" si="95"/>
        <v>138</v>
      </c>
      <c r="B148" t="s">
        <v>72</v>
      </c>
      <c r="C148">
        <f>C135+C145*EXP(100*C143)</f>
        <v>18.606387068930037</v>
      </c>
      <c r="D148">
        <f>D135+D145*EXP(100*D143)</f>
        <v>17.216815207051852</v>
      </c>
      <c r="E148">
        <f>E135+E145*EXP(100*E143)</f>
        <v>16.15715058478699</v>
      </c>
      <c r="F148">
        <f>F135+F145*EXP(100*F143)</f>
        <v>15.325100850893659</v>
      </c>
      <c r="G148">
        <f>G135+G145*EXP(100*G143)</f>
        <v>24.200405399993244</v>
      </c>
      <c r="O148">
        <f t="shared" si="75"/>
        <v>4.7119256956318953E-13</v>
      </c>
      <c r="P148">
        <f t="shared" si="75"/>
        <v>1.4919659037627281E-12</v>
      </c>
      <c r="Q148">
        <f t="shared" si="75"/>
        <v>4.0929602861183092E-12</v>
      </c>
      <c r="R148">
        <f t="shared" si="75"/>
        <v>9.7322874395596289E-12</v>
      </c>
      <c r="S148">
        <f t="shared" si="75"/>
        <v>2.8801307564125011E-17</v>
      </c>
      <c r="U148">
        <f t="shared" si="79"/>
        <v>3.0998558852995725E-13</v>
      </c>
      <c r="V148">
        <f t="shared" si="80"/>
        <v>9.6028459265596362E-13</v>
      </c>
      <c r="W148">
        <f t="shared" si="81"/>
        <v>2.5794910530022853E-12</v>
      </c>
      <c r="X148">
        <f t="shared" si="82"/>
        <v>6.0125928649081376E-12</v>
      </c>
      <c r="Y148">
        <f t="shared" si="83"/>
        <v>1.8360826109430142E-17</v>
      </c>
      <c r="AA148">
        <f t="shared" si="84"/>
        <v>8.7274000475835386E-26</v>
      </c>
      <c r="AB148">
        <f t="shared" si="85"/>
        <v>8.6214162535092306E-25</v>
      </c>
      <c r="AC148">
        <f t="shared" si="86"/>
        <v>6.398066102263753E-24</v>
      </c>
      <c r="AD148">
        <f t="shared" si="87"/>
        <v>3.5705825794518337E-23</v>
      </c>
      <c r="AE148">
        <f t="shared" si="88"/>
        <v>3.1905570689457666E-34</v>
      </c>
      <c r="AG148">
        <f t="shared" si="89"/>
        <v>1.6345863377643376E-13</v>
      </c>
      <c r="AH148">
        <f t="shared" si="90"/>
        <v>4.9023235335828196E-13</v>
      </c>
      <c r="AI148">
        <f t="shared" si="91"/>
        <v>1.2758441416370864E-12</v>
      </c>
      <c r="AJ148">
        <f t="shared" si="92"/>
        <v>2.8848919487021614E-12</v>
      </c>
      <c r="AK148">
        <f t="shared" si="94"/>
        <v>9.2581382389196446E-18</v>
      </c>
    </row>
    <row r="149" spans="1:37" x14ac:dyDescent="0.3">
      <c r="A149">
        <f t="shared" si="95"/>
        <v>139</v>
      </c>
      <c r="C149">
        <f>C136+C145*EXP(110*C143)</f>
        <v>18.606387068930033</v>
      </c>
      <c r="D149">
        <f t="shared" ref="D149:G149" si="100">D136+D145*EXP(110*D143)</f>
        <v>17.216815207051852</v>
      </c>
      <c r="E149">
        <f t="shared" si="100"/>
        <v>16.157150584786987</v>
      </c>
      <c r="F149">
        <f t="shared" si="100"/>
        <v>15.325100850893655</v>
      </c>
      <c r="G149">
        <f t="shared" si="100"/>
        <v>24.200405399993244</v>
      </c>
      <c r="O149">
        <f t="shared" si="75"/>
        <v>6.5052153032657688E-14</v>
      </c>
      <c r="P149">
        <f t="shared" si="75"/>
        <v>1.8982142087815119E-13</v>
      </c>
      <c r="Q149">
        <f t="shared" si="75"/>
        <v>4.7787838383119504E-13</v>
      </c>
      <c r="R149">
        <f t="shared" si="75"/>
        <v>1.039496503179516E-12</v>
      </c>
      <c r="S149">
        <f t="shared" si="75"/>
        <v>3.5141084057463168E-18</v>
      </c>
      <c r="U149">
        <f t="shared" si="79"/>
        <v>4.1863227232033626E-14</v>
      </c>
      <c r="V149">
        <f t="shared" si="80"/>
        <v>1.1939093033552396E-13</v>
      </c>
      <c r="W149">
        <f t="shared" si="81"/>
        <v>2.9407171802753282E-13</v>
      </c>
      <c r="X149">
        <f t="shared" si="82"/>
        <v>6.2670089353856534E-13</v>
      </c>
      <c r="Y149">
        <f t="shared" si="83"/>
        <v>2.2031181244944785E-18</v>
      </c>
      <c r="AA149">
        <f t="shared" si="84"/>
        <v>1.6385633528949436E-27</v>
      </c>
      <c r="AB149">
        <f t="shared" si="85"/>
        <v>1.3741119494679638E-26</v>
      </c>
      <c r="AC149">
        <f t="shared" si="86"/>
        <v>8.5856468900329125E-26</v>
      </c>
      <c r="AD149">
        <f t="shared" si="87"/>
        <v>4.0094227862076133E-25</v>
      </c>
      <c r="AE149">
        <f t="shared" si="88"/>
        <v>4.6973094618305913E-36</v>
      </c>
      <c r="AG149">
        <f t="shared" si="89"/>
        <v>2.1379260606315993E-14</v>
      </c>
      <c r="AH149">
        <f t="shared" si="90"/>
        <v>5.8906632102919589E-14</v>
      </c>
      <c r="AI149">
        <f t="shared" si="91"/>
        <v>1.4031958131277047E-13</v>
      </c>
      <c r="AJ149">
        <f t="shared" si="92"/>
        <v>2.8964431417715214E-13</v>
      </c>
      <c r="AK149">
        <f t="shared" si="94"/>
        <v>1.0834327184888906E-18</v>
      </c>
    </row>
    <row r="150" spans="1:37" x14ac:dyDescent="0.3">
      <c r="A150">
        <f t="shared" si="95"/>
        <v>140</v>
      </c>
      <c r="C150">
        <f>C137+C145*EXP(120*C143)</f>
        <v>18.606387068930029</v>
      </c>
      <c r="D150">
        <f>D137+D145*EXP(120*D143)</f>
        <v>17.216815207051859</v>
      </c>
      <c r="E150">
        <f>E137+E145*EXP(120*E143)</f>
        <v>16.157150584786979</v>
      </c>
      <c r="F150">
        <f>F137+F145*EXP(120*F143)</f>
        <v>15.32510085089365</v>
      </c>
      <c r="G150">
        <f>G137+G145*EXP(120*G143)</f>
        <v>24.20040539999323</v>
      </c>
      <c r="O150">
        <f t="shared" si="75"/>
        <v>8.2620645753515329E-15</v>
      </c>
      <c r="P150">
        <f t="shared" si="75"/>
        <v>2.1948084115856304E-14</v>
      </c>
      <c r="Q150">
        <f t="shared" si="75"/>
        <v>5.0041357512321363E-14</v>
      </c>
      <c r="R150">
        <f t="shared" si="75"/>
        <v>9.8179741542849337E-14</v>
      </c>
      <c r="S150">
        <f t="shared" si="75"/>
        <v>3.9935830071961082E-19</v>
      </c>
      <c r="U150">
        <f t="shared" si="79"/>
        <v>5.2061184280290127E-15</v>
      </c>
      <c r="V150">
        <f t="shared" si="80"/>
        <v>1.350617783852021E-14</v>
      </c>
      <c r="W150">
        <f t="shared" si="81"/>
        <v>3.0111847355774627E-14</v>
      </c>
      <c r="X150">
        <f t="shared" si="82"/>
        <v>5.7862771177382637E-14</v>
      </c>
      <c r="Y150">
        <f t="shared" si="83"/>
        <v>2.4638477126151473E-19</v>
      </c>
      <c r="AA150">
        <f t="shared" si="84"/>
        <v>2.6060214777256671E-29</v>
      </c>
      <c r="AB150">
        <f t="shared" si="85"/>
        <v>1.8108391701899334E-28</v>
      </c>
      <c r="AC150">
        <f t="shared" si="86"/>
        <v>9.2794548449642901E-28</v>
      </c>
      <c r="AD150">
        <f t="shared" si="87"/>
        <v>3.5256986911869942E-27</v>
      </c>
      <c r="AE150">
        <f t="shared" si="88"/>
        <v>6.0031694779282848E-38</v>
      </c>
      <c r="AG150">
        <f t="shared" si="89"/>
        <v>2.5770951477268556E-15</v>
      </c>
      <c r="AH150">
        <f t="shared" si="90"/>
        <v>6.447522746088743E-15</v>
      </c>
      <c r="AI150">
        <f t="shared" si="91"/>
        <v>1.3880884147689546E-14</v>
      </c>
      <c r="AJ150">
        <f t="shared" si="92"/>
        <v>2.5805545288900415E-14</v>
      </c>
      <c r="AK150">
        <f t="shared" si="94"/>
        <v>1.1824377936311947E-19</v>
      </c>
    </row>
    <row r="151" spans="1:37" x14ac:dyDescent="0.3">
      <c r="A151">
        <f t="shared" si="95"/>
        <v>141</v>
      </c>
      <c r="O151">
        <f t="shared" si="75"/>
        <v>9.6194938995390833E-16</v>
      </c>
      <c r="P151">
        <f t="shared" si="75"/>
        <v>2.2960769295402607E-15</v>
      </c>
      <c r="Q151">
        <f t="shared" si="75"/>
        <v>4.6738758890649262E-15</v>
      </c>
      <c r="R151">
        <f t="shared" si="75"/>
        <v>8.1446968587199617E-15</v>
      </c>
      <c r="S151">
        <f t="shared" si="75"/>
        <v>4.2170892517509276E-20</v>
      </c>
      <c r="U151">
        <f t="shared" si="79"/>
        <v>5.9411144537629162E-16</v>
      </c>
      <c r="V151">
        <f t="shared" si="80"/>
        <v>1.3840973158219274E-15</v>
      </c>
      <c r="W151">
        <f t="shared" si="81"/>
        <v>2.7542306550814843E-15</v>
      </c>
      <c r="X151">
        <f t="shared" si="82"/>
        <v>4.7005519765979804E-15</v>
      </c>
      <c r="Y151">
        <f t="shared" si="83"/>
        <v>2.5620174642954677E-20</v>
      </c>
      <c r="AA151">
        <f t="shared" si="84"/>
        <v>3.486328925464688E-31</v>
      </c>
      <c r="AB151">
        <f t="shared" si="85"/>
        <v>1.9556319492941571E-30</v>
      </c>
      <c r="AC151">
        <f t="shared" si="86"/>
        <v>7.9889272180087154E-30</v>
      </c>
      <c r="AD151">
        <f t="shared" si="87"/>
        <v>2.3951368228619868E-29</v>
      </c>
      <c r="AE151">
        <f t="shared" si="88"/>
        <v>6.6278394428276257E-40</v>
      </c>
      <c r="AG151">
        <f t="shared" si="89"/>
        <v>2.8532314314067249E-16</v>
      </c>
      <c r="AH151">
        <f t="shared" si="90"/>
        <v>6.400524344440113E-16</v>
      </c>
      <c r="AI151">
        <f t="shared" si="91"/>
        <v>1.2284686108661922E-15</v>
      </c>
      <c r="AJ151">
        <f t="shared" si="92"/>
        <v>2.0268041022542242E-15</v>
      </c>
      <c r="AK151">
        <f t="shared" si="94"/>
        <v>1.200692376105991E-20</v>
      </c>
    </row>
    <row r="152" spans="1:37" x14ac:dyDescent="0.3">
      <c r="A152">
        <f t="shared" si="95"/>
        <v>142</v>
      </c>
      <c r="O152">
        <f t="shared" si="75"/>
        <v>1.0229662553813409E-16</v>
      </c>
      <c r="P152">
        <f t="shared" si="75"/>
        <v>2.1632098665109352E-16</v>
      </c>
      <c r="Q152">
        <f t="shared" si="75"/>
        <v>3.8711930219249324E-16</v>
      </c>
      <c r="R152">
        <f t="shared" si="75"/>
        <v>5.8922903261088622E-16</v>
      </c>
      <c r="S152">
        <f t="shared" si="75"/>
        <v>4.1275096300586523E-21</v>
      </c>
      <c r="U152">
        <f t="shared" si="79"/>
        <v>6.1988437630270464E-17</v>
      </c>
      <c r="V152">
        <f t="shared" si="80"/>
        <v>1.2789835772625028E-16</v>
      </c>
      <c r="W152">
        <f t="shared" si="81"/>
        <v>2.2373305945277471E-16</v>
      </c>
      <c r="X152">
        <f t="shared" si="82"/>
        <v>3.335890309325564E-16</v>
      </c>
      <c r="Y152">
        <f t="shared" si="83"/>
        <v>2.4709735691707149E-21</v>
      </c>
      <c r="AA152">
        <f t="shared" si="84"/>
        <v>3.8944242264897283E-33</v>
      </c>
      <c r="AB152">
        <f t="shared" si="85"/>
        <v>1.7147395141591684E-32</v>
      </c>
      <c r="AC152">
        <f t="shared" si="86"/>
        <v>5.4152300268186107E-32</v>
      </c>
      <c r="AD152">
        <f t="shared" si="87"/>
        <v>1.2391168719091637E-31</v>
      </c>
      <c r="AE152">
        <f t="shared" si="88"/>
        <v>6.2901854681842824E-42</v>
      </c>
      <c r="AG152">
        <f t="shared" si="89"/>
        <v>2.8910932005372592E-17</v>
      </c>
      <c r="AH152">
        <f t="shared" si="90"/>
        <v>5.7367592910686359E-17</v>
      </c>
      <c r="AI152">
        <f t="shared" si="91"/>
        <v>9.6716469171765461E-17</v>
      </c>
      <c r="AJ152">
        <f t="shared" si="92"/>
        <v>1.3935591733137894E-16</v>
      </c>
      <c r="AK152">
        <f t="shared" si="94"/>
        <v>1.1316315622847636E-21</v>
      </c>
    </row>
    <row r="153" spans="1:37" x14ac:dyDescent="0.3">
      <c r="A153">
        <f t="shared" si="95"/>
        <v>143</v>
      </c>
      <c r="O153">
        <f t="shared" si="75"/>
        <v>9.8982290933857206E-18</v>
      </c>
      <c r="P153">
        <f t="shared" si="75"/>
        <v>1.8265170858530102E-17</v>
      </c>
      <c r="Q153">
        <f t="shared" si="75"/>
        <v>2.8261007889511615E-17</v>
      </c>
      <c r="R153">
        <f t="shared" si="75"/>
        <v>3.6896160131233089E-17</v>
      </c>
      <c r="S153">
        <f t="shared" si="75"/>
        <v>3.7348653499776208E-22</v>
      </c>
      <c r="U153">
        <f t="shared" si="79"/>
        <v>5.8910103145105616E-18</v>
      </c>
      <c r="V153">
        <f t="shared" si="80"/>
        <v>1.0605278971438452E-17</v>
      </c>
      <c r="W153">
        <f t="shared" si="81"/>
        <v>1.6042904411772254E-17</v>
      </c>
      <c r="X153">
        <f t="shared" si="82"/>
        <v>2.0526434561496747E-17</v>
      </c>
      <c r="Y153">
        <f t="shared" si="83"/>
        <v>2.2047548664250779E-22</v>
      </c>
      <c r="AA153">
        <f t="shared" si="84"/>
        <v>3.6047569579355506E-35</v>
      </c>
      <c r="AB153">
        <f t="shared" si="85"/>
        <v>1.2088663703771285E-34</v>
      </c>
      <c r="AC153">
        <f t="shared" si="86"/>
        <v>2.8549348472669505E-34</v>
      </c>
      <c r="AD153">
        <f t="shared" si="87"/>
        <v>4.808644425252879E-34</v>
      </c>
      <c r="AE153">
        <f t="shared" si="88"/>
        <v>5.1053065533597939E-44</v>
      </c>
      <c r="AG153">
        <f t="shared" si="89"/>
        <v>2.6710744033777761E-18</v>
      </c>
      <c r="AH153">
        <f t="shared" si="90"/>
        <v>4.6204258778889527E-18</v>
      </c>
      <c r="AI153">
        <f t="shared" si="91"/>
        <v>6.7333450980738022E-18</v>
      </c>
      <c r="AJ153">
        <f t="shared" si="92"/>
        <v>8.3259239576567943E-18</v>
      </c>
      <c r="AK153">
        <f t="shared" si="94"/>
        <v>9.8742292299893004E-23</v>
      </c>
    </row>
    <row r="154" spans="1:37" x14ac:dyDescent="0.3">
      <c r="A154">
        <f t="shared" si="95"/>
        <v>144</v>
      </c>
      <c r="O154">
        <f t="shared" si="75"/>
        <v>8.6798573451099996E-19</v>
      </c>
      <c r="P154">
        <f t="shared" si="75"/>
        <v>1.3751633707012629E-18</v>
      </c>
      <c r="Q154">
        <f t="shared" si="75"/>
        <v>1.8068713715797178E-18</v>
      </c>
      <c r="R154">
        <f t="shared" si="75"/>
        <v>1.9838917488916906E-18</v>
      </c>
      <c r="S154">
        <f t="shared" si="75"/>
        <v>3.1161766400853798E-23</v>
      </c>
      <c r="U154">
        <f t="shared" si="79"/>
        <v>5.0790290056220144E-19</v>
      </c>
      <c r="V154">
        <f t="shared" si="80"/>
        <v>7.8511185682276951E-19</v>
      </c>
      <c r="W154">
        <f t="shared" si="81"/>
        <v>1.0089647812265864E-18</v>
      </c>
      <c r="X154">
        <f t="shared" si="82"/>
        <v>1.086408621434358E-18</v>
      </c>
      <c r="Y154">
        <f t="shared" si="83"/>
        <v>1.8151335943199876E-23</v>
      </c>
      <c r="AA154">
        <f t="shared" si="84"/>
        <v>2.742828892079582E-37</v>
      </c>
      <c r="AB154">
        <f t="shared" si="85"/>
        <v>6.7825880049069151E-37</v>
      </c>
      <c r="AC154">
        <f t="shared" si="86"/>
        <v>1.1556990026886627E-36</v>
      </c>
      <c r="AD154">
        <f t="shared" si="87"/>
        <v>1.3776270082697535E-36</v>
      </c>
      <c r="AE154">
        <f t="shared" si="88"/>
        <v>3.524829778244336E-46</v>
      </c>
      <c r="AG154">
        <f t="shared" si="89"/>
        <v>2.2413807574762143E-19</v>
      </c>
      <c r="AH154">
        <f t="shared" si="90"/>
        <v>3.3273108774407929E-19</v>
      </c>
      <c r="AI154">
        <f t="shared" si="91"/>
        <v>4.119218780687074E-19</v>
      </c>
      <c r="AJ154">
        <f t="shared" si="92"/>
        <v>4.2885806471969102E-19</v>
      </c>
      <c r="AK154">
        <f t="shared" si="94"/>
        <v>7.9559450567815103E-24</v>
      </c>
    </row>
    <row r="155" spans="1:37" x14ac:dyDescent="0.3">
      <c r="A155">
        <f t="shared" si="95"/>
        <v>145</v>
      </c>
      <c r="O155">
        <f t="shared" si="75"/>
        <v>6.8695062989590864E-20</v>
      </c>
      <c r="P155">
        <f t="shared" si="75"/>
        <v>9.1829145162918268E-20</v>
      </c>
      <c r="Q155">
        <f t="shared" si="75"/>
        <v>1.0049498644501197E-19</v>
      </c>
      <c r="R155">
        <f t="shared" si="75"/>
        <v>9.0835770620628851E-20</v>
      </c>
      <c r="S155">
        <f t="shared" si="75"/>
        <v>2.3907781642697323E-24</v>
      </c>
      <c r="U155">
        <f t="shared" si="79"/>
        <v>3.9562501811906028E-20</v>
      </c>
      <c r="V155">
        <f t="shared" si="80"/>
        <v>5.1615598890678905E-20</v>
      </c>
      <c r="W155">
        <f t="shared" si="81"/>
        <v>5.5281602214221473E-20</v>
      </c>
      <c r="X155">
        <f t="shared" si="82"/>
        <v>4.9044861678198258E-20</v>
      </c>
      <c r="Y155">
        <f t="shared" si="83"/>
        <v>1.3750636606381138E-24</v>
      </c>
      <c r="AA155">
        <f t="shared" si="84"/>
        <v>1.7013619746104564E-39</v>
      </c>
      <c r="AB155">
        <f t="shared" si="85"/>
        <v>2.9964788871364424E-39</v>
      </c>
      <c r="AC155">
        <f t="shared" si="86"/>
        <v>3.5440327787501656E-39</v>
      </c>
      <c r="AD155">
        <f t="shared" si="87"/>
        <v>2.8650268086675745E-39</v>
      </c>
      <c r="AE155">
        <f t="shared" si="88"/>
        <v>2.058852449978619E-48</v>
      </c>
      <c r="AG155">
        <f t="shared" si="89"/>
        <v>1.7012930520685115E-20</v>
      </c>
      <c r="AH155">
        <f t="shared" si="90"/>
        <v>2.1311878682217126E-20</v>
      </c>
      <c r="AI155">
        <f t="shared" si="91"/>
        <v>2.1996718442862265E-20</v>
      </c>
      <c r="AJ155">
        <f t="shared" si="92"/>
        <v>1.8885988019334757E-20</v>
      </c>
      <c r="AK155">
        <f t="shared" si="94"/>
        <v>5.9032760791118629E-25</v>
      </c>
    </row>
    <row r="156" spans="1:37" x14ac:dyDescent="0.3">
      <c r="A156">
        <f t="shared" si="95"/>
        <v>146</v>
      </c>
      <c r="O156">
        <f t="shared" si="75"/>
        <v>4.8856166106240419E-21</v>
      </c>
      <c r="P156">
        <f t="shared" si="75"/>
        <v>5.4086085456063083E-21</v>
      </c>
      <c r="Q156">
        <f t="shared" si="75"/>
        <v>4.8280524865693458E-21</v>
      </c>
      <c r="R156">
        <f t="shared" si="75"/>
        <v>3.5104301200610228E-21</v>
      </c>
      <c r="S156">
        <f t="shared" si="75"/>
        <v>1.6818847084437949E-25</v>
      </c>
      <c r="U156">
        <f t="shared" si="79"/>
        <v>2.7721620117985741E-21</v>
      </c>
      <c r="V156">
        <f t="shared" si="80"/>
        <v>2.9967220364166155E-21</v>
      </c>
      <c r="W156">
        <f t="shared" si="81"/>
        <v>2.6200827484308164E-21</v>
      </c>
      <c r="X156">
        <f t="shared" si="82"/>
        <v>1.8717613078533223E-21</v>
      </c>
      <c r="Y156">
        <f t="shared" si="83"/>
        <v>9.5580343081057797E-26</v>
      </c>
      <c r="AA156">
        <f t="shared" si="84"/>
        <v>8.5290847372325214E-42</v>
      </c>
      <c r="AB156">
        <f t="shared" si="85"/>
        <v>1.0307938131174473E-41</v>
      </c>
      <c r="AC156">
        <f t="shared" si="86"/>
        <v>8.1169585535653467E-42</v>
      </c>
      <c r="AD156">
        <f t="shared" si="87"/>
        <v>4.2491523219279119E-42</v>
      </c>
      <c r="AE156">
        <f t="shared" si="88"/>
        <v>1.0116144628425478E-50</v>
      </c>
      <c r="AG156">
        <f t="shared" si="89"/>
        <v>1.163052473746715E-21</v>
      </c>
      <c r="AH156">
        <f t="shared" si="90"/>
        <v>1.2074296034453633E-21</v>
      </c>
      <c r="AI156">
        <f t="shared" si="91"/>
        <v>1.0181204580730062E-21</v>
      </c>
      <c r="AJ156">
        <f t="shared" si="92"/>
        <v>7.0478823468961905E-22</v>
      </c>
      <c r="AK156">
        <f t="shared" si="94"/>
        <v>4.0221413837046641E-26</v>
      </c>
    </row>
    <row r="157" spans="1:37" x14ac:dyDescent="0.3">
      <c r="A157">
        <f t="shared" si="95"/>
        <v>147</v>
      </c>
      <c r="O157">
        <f t="shared" si="75"/>
        <v>3.1084088414157426E-22</v>
      </c>
      <c r="P157">
        <f t="shared" si="75"/>
        <v>2.7934460165613748E-22</v>
      </c>
      <c r="Q157">
        <f t="shared" si="75"/>
        <v>1.988783099709548E-22</v>
      </c>
      <c r="R157">
        <f t="shared" si="75"/>
        <v>1.1344349857102157E-22</v>
      </c>
      <c r="S157">
        <f t="shared" si="75"/>
        <v>1.0817352244370096E-26</v>
      </c>
      <c r="U157">
        <f t="shared" si="79"/>
        <v>1.73933264415766E-22</v>
      </c>
      <c r="V157">
        <f t="shared" si="80"/>
        <v>1.5274546278539266E-22</v>
      </c>
      <c r="W157">
        <f t="shared" si="81"/>
        <v>1.0661735016066594E-22</v>
      </c>
      <c r="X157">
        <f t="shared" si="82"/>
        <v>5.9824498537299997E-23</v>
      </c>
      <c r="Y157">
        <f t="shared" si="83"/>
        <v>6.0774315366830044E-27</v>
      </c>
      <c r="AA157">
        <f t="shared" si="84"/>
        <v>3.4244367871651964E-44</v>
      </c>
      <c r="AB157">
        <f t="shared" si="85"/>
        <v>2.728966258567549E-44</v>
      </c>
      <c r="AC157">
        <f t="shared" si="86"/>
        <v>1.3679115490237453E-44</v>
      </c>
      <c r="AD157">
        <f t="shared" si="87"/>
        <v>4.4108120917475009E-45</v>
      </c>
      <c r="AE157">
        <f t="shared" si="88"/>
        <v>4.1567706053779144E-53</v>
      </c>
      <c r="AG157">
        <f t="shared" si="89"/>
        <v>7.1236146179750557E-23</v>
      </c>
      <c r="AH157">
        <f t="shared" si="90"/>
        <v>6.0134515840206822E-23</v>
      </c>
      <c r="AI157">
        <f t="shared" si="91"/>
        <v>4.0534923493797677E-23</v>
      </c>
      <c r="AJ157">
        <f t="shared" si="92"/>
        <v>2.2077549951808044E-23</v>
      </c>
      <c r="AK157">
        <f t="shared" si="94"/>
        <v>2.5067864115103618E-27</v>
      </c>
    </row>
    <row r="158" spans="1:37" x14ac:dyDescent="0.3">
      <c r="A158">
        <f t="shared" si="95"/>
        <v>148</v>
      </c>
      <c r="O158">
        <f t="shared" si="75"/>
        <v>1.7609350351988716E-23</v>
      </c>
      <c r="P158">
        <f t="shared" si="75"/>
        <v>1.2574721911418911E-23</v>
      </c>
      <c r="Q158">
        <f t="shared" si="75"/>
        <v>6.969551323885144E-24</v>
      </c>
      <c r="R158">
        <f t="shared" si="75"/>
        <v>3.0355926907512368E-24</v>
      </c>
      <c r="S158">
        <f t="shared" si="75"/>
        <v>6.3415971918457961E-28</v>
      </c>
      <c r="U158">
        <f t="shared" si="79"/>
        <v>9.7081471689845041E-24</v>
      </c>
      <c r="V158">
        <f t="shared" si="80"/>
        <v>6.7858010016144852E-24</v>
      </c>
      <c r="W158">
        <f t="shared" si="81"/>
        <v>3.6934195132459741E-24</v>
      </c>
      <c r="X158">
        <f t="shared" si="82"/>
        <v>1.5849529064135977E-24</v>
      </c>
      <c r="Y158">
        <f t="shared" si="83"/>
        <v>3.516755549056666E-28</v>
      </c>
      <c r="AA158">
        <f t="shared" si="84"/>
        <v>1.0908436955009639E-46</v>
      </c>
      <c r="AB158">
        <f t="shared" si="85"/>
        <v>5.4925656056271637E-47</v>
      </c>
      <c r="AC158">
        <f t="shared" si="86"/>
        <v>1.669901986759985E-47</v>
      </c>
      <c r="AD158">
        <f t="shared" si="87"/>
        <v>3.1419430498482198E-48</v>
      </c>
      <c r="AE158">
        <f t="shared" si="88"/>
        <v>1.4197365717066569E-55</v>
      </c>
      <c r="AG158">
        <f t="shared" si="89"/>
        <v>3.8514015365074271E-24</v>
      </c>
      <c r="AH158">
        <f t="shared" si="90"/>
        <v>2.5997072587631175E-24</v>
      </c>
      <c r="AI158">
        <f t="shared" si="91"/>
        <v>1.3719352107641868E-24</v>
      </c>
      <c r="AJ158">
        <f t="shared" si="92"/>
        <v>5.7348305330710497E-25</v>
      </c>
      <c r="AK158">
        <f t="shared" si="94"/>
        <v>1.4083224281481917E-28</v>
      </c>
    </row>
    <row r="159" spans="1:37" x14ac:dyDescent="0.3">
      <c r="A159">
        <f t="shared" si="95"/>
        <v>149</v>
      </c>
      <c r="O159">
        <f t="shared" si="75"/>
        <v>8.8391526571140094E-25</v>
      </c>
      <c r="P159">
        <f t="shared" si="75"/>
        <v>4.9021970447262568E-25</v>
      </c>
      <c r="Q159">
        <f t="shared" si="75"/>
        <v>2.0609464308351017E-25</v>
      </c>
      <c r="R159">
        <f t="shared" si="75"/>
        <v>6.6564995322099914E-26</v>
      </c>
      <c r="S159">
        <f t="shared" si="75"/>
        <v>3.3780803857358245E-29</v>
      </c>
      <c r="U159">
        <f>U160+0.5*O159+0.5*O160</f>
        <v>4.6151436013444489E-25</v>
      </c>
      <c r="V159">
        <f t="shared" ref="V159:Y159" si="101">V160+0.5*P159+0.5*P160</f>
        <v>2.5333019366871674E-25</v>
      </c>
      <c r="W159">
        <f t="shared" si="101"/>
        <v>1.055965297616467E-25</v>
      </c>
      <c r="X159">
        <f t="shared" si="101"/>
        <v>3.3874063376929286E-26</v>
      </c>
      <c r="Y159">
        <f t="shared" si="101"/>
        <v>1.7705293384697709E-29</v>
      </c>
      <c r="AA159">
        <f>AA160+(O159^2+O159*O160+O160^2)/3</f>
        <v>2.7246967962105021E-49</v>
      </c>
      <c r="AB159">
        <f t="shared" si="85"/>
        <v>8.2881733800534642E-50</v>
      </c>
      <c r="AC159">
        <f t="shared" si="86"/>
        <v>1.4517250691453707E-50</v>
      </c>
      <c r="AD159">
        <f t="shared" si="87"/>
        <v>1.5036845134788143E-51</v>
      </c>
      <c r="AE159">
        <f t="shared" si="88"/>
        <v>3.9961809282375998E-58</v>
      </c>
      <c r="AG159">
        <f t="shared" si="89"/>
        <v>1.6035702913772978E-25</v>
      </c>
      <c r="AH159">
        <f t="shared" si="90"/>
        <v>8.7183511700373565E-26</v>
      </c>
      <c r="AI159">
        <f t="shared" si="91"/>
        <v>3.6048579327179437E-26</v>
      </c>
      <c r="AJ159">
        <f t="shared" si="92"/>
        <v>1.1488543030936204E-26</v>
      </c>
      <c r="AK159">
        <f t="shared" si="94"/>
        <v>6.1733949469054316E-30</v>
      </c>
    </row>
    <row r="160" spans="1:37" x14ac:dyDescent="0.3">
      <c r="A160">
        <f t="shared" si="95"/>
        <v>150</v>
      </c>
      <c r="O160">
        <f t="shared" si="75"/>
        <v>3.9113454557488831E-26</v>
      </c>
      <c r="P160">
        <f t="shared" si="75"/>
        <v>1.6440682864807837E-26</v>
      </c>
      <c r="Q160">
        <f t="shared" si="75"/>
        <v>5.0984164397832391E-27</v>
      </c>
      <c r="R160">
        <f t="shared" si="75"/>
        <v>1.1831314317586592E-27</v>
      </c>
      <c r="S160">
        <f t="shared" si="75"/>
        <v>1.6297829120371737E-30</v>
      </c>
      <c r="U160">
        <v>0</v>
      </c>
      <c r="V160">
        <v>0</v>
      </c>
      <c r="W160">
        <v>0</v>
      </c>
      <c r="X160">
        <v>0</v>
      </c>
      <c r="Y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G160">
        <v>0</v>
      </c>
      <c r="AH160">
        <v>0</v>
      </c>
      <c r="AI160">
        <v>0</v>
      </c>
      <c r="AJ160">
        <v>0</v>
      </c>
      <c r="AK160">
        <v>0</v>
      </c>
    </row>
    <row r="162" spans="15:33" x14ac:dyDescent="0.3">
      <c r="O162" t="s">
        <v>76</v>
      </c>
      <c r="U162" t="s">
        <v>78</v>
      </c>
      <c r="AA162" t="s">
        <v>80</v>
      </c>
      <c r="AG162" t="s">
        <v>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59009-DA77-4DA9-A88B-2DBB3A5F38C0}">
  <sheetPr codeName="Sheet8"/>
  <dimension ref="A1:S64"/>
  <sheetViews>
    <sheetView workbookViewId="0"/>
  </sheetViews>
  <sheetFormatPr defaultRowHeight="14.4" x14ac:dyDescent="0.3"/>
  <sheetData>
    <row r="1" spans="1:19" x14ac:dyDescent="0.3">
      <c r="A1" s="1" t="s">
        <v>102</v>
      </c>
    </row>
    <row r="3" spans="1:19" x14ac:dyDescent="0.3">
      <c r="C3" t="s">
        <v>87</v>
      </c>
      <c r="I3" t="s">
        <v>92</v>
      </c>
      <c r="O3" t="s">
        <v>89</v>
      </c>
    </row>
    <row r="4" spans="1:19" x14ac:dyDescent="0.3">
      <c r="C4" t="s">
        <v>90</v>
      </c>
      <c r="G4" t="s">
        <v>66</v>
      </c>
      <c r="I4" t="s">
        <v>90</v>
      </c>
      <c r="M4" t="s">
        <v>66</v>
      </c>
      <c r="O4" t="s">
        <v>90</v>
      </c>
      <c r="S4" t="s">
        <v>66</v>
      </c>
    </row>
    <row r="5" spans="1:19" x14ac:dyDescent="0.3">
      <c r="C5">
        <v>1965</v>
      </c>
      <c r="D5">
        <v>1985</v>
      </c>
      <c r="E5">
        <v>2005</v>
      </c>
      <c r="F5">
        <v>2025</v>
      </c>
      <c r="G5">
        <v>2025</v>
      </c>
      <c r="I5">
        <v>1965</v>
      </c>
      <c r="J5">
        <v>1985</v>
      </c>
      <c r="K5">
        <v>2005</v>
      </c>
      <c r="L5">
        <v>2025</v>
      </c>
      <c r="M5">
        <v>2025</v>
      </c>
      <c r="O5">
        <v>1965</v>
      </c>
      <c r="P5">
        <v>1985</v>
      </c>
      <c r="Q5">
        <v>2005</v>
      </c>
      <c r="R5">
        <v>2025</v>
      </c>
      <c r="S5">
        <v>2025</v>
      </c>
    </row>
    <row r="6" spans="1:19" x14ac:dyDescent="0.3">
      <c r="A6" t="s">
        <v>91</v>
      </c>
    </row>
    <row r="7" spans="1:19" x14ac:dyDescent="0.3">
      <c r="A7">
        <v>0</v>
      </c>
      <c r="C7" s="2"/>
      <c r="D7" s="2"/>
      <c r="E7" s="2"/>
      <c r="F7" s="2" cm="1">
        <f t="array" ref="F7">INDEX('AG2024'!AV$10:AV$130,$A7+1,1)</f>
        <v>5.787459399195527E-2</v>
      </c>
      <c r="G7" s="2" cm="1">
        <f t="array" ref="G7">INDEX('AG2024'!AW$10:AW$130,$A7+1,1)</f>
        <v>8.2109489498756627E-2</v>
      </c>
      <c r="I7" s="2"/>
      <c r="J7" s="2"/>
      <c r="K7" s="2"/>
      <c r="L7" s="2" cm="1">
        <f t="array" ref="L7">INDEX('AG2024'!BB$10:BB$130,$A7+1,1)</f>
        <v>0.12487787266533952</v>
      </c>
      <c r="M7" s="2" cm="1">
        <f t="array" ref="M7">INDEX('AG2024'!BC$10:BC$130,$A7+1,1)</f>
        <v>0.15937151259419685</v>
      </c>
      <c r="R7" s="8" cm="1">
        <f t="array" ref="R7">INDEX('AG2024'!AP$10:AP$130,$A7+1,1)</f>
        <v>92.94127792375231</v>
      </c>
      <c r="S7" s="8" cm="1">
        <f t="array" ref="S7">INDEX('AG2024'!AQ$10:AQ$130,$A7+1,1)</f>
        <v>80.45760513733174</v>
      </c>
    </row>
    <row r="8" spans="1:19" x14ac:dyDescent="0.3">
      <c r="A8">
        <f>A7+10</f>
        <v>10</v>
      </c>
      <c r="C8" s="2"/>
      <c r="D8" s="2"/>
      <c r="E8" s="2"/>
      <c r="F8" s="2" cm="1">
        <f t="array" ref="F8">INDEX('AG2024'!AV$10:AV$130,$A8+1,1)</f>
        <v>6.2160010490881934E-2</v>
      </c>
      <c r="G8" s="2" cm="1">
        <f t="array" ref="G8">INDEX('AG2024'!AW$10:AW$130,$A8+1,1)</f>
        <v>9.0928121181204302E-2</v>
      </c>
      <c r="I8" s="2"/>
      <c r="J8" s="2"/>
      <c r="K8" s="2"/>
      <c r="L8" s="2" cm="1">
        <f t="array" ref="L8">INDEX('AG2024'!BB$10:BB$130,$A8+1,1)</f>
        <v>0.12801258839622962</v>
      </c>
      <c r="M8" s="2" cm="1">
        <f t="array" ref="M8">INDEX('AG2024'!BC$10:BC$130,$A8+1,1)</f>
        <v>0.17200441206835124</v>
      </c>
      <c r="R8" s="8" cm="1">
        <f t="array" ref="R8">INDEX('AG2024'!AP$10:AP$130,$A8+1,1)</f>
        <v>83.177016797559261</v>
      </c>
      <c r="S8" s="8" cm="1">
        <f t="array" ref="S8">INDEX('AG2024'!AQ$10:AQ$130,$A8+1,1)</f>
        <v>70.673270129867532</v>
      </c>
    </row>
    <row r="9" spans="1:19" x14ac:dyDescent="0.3">
      <c r="A9">
        <f t="shared" ref="A9:A17" si="0">A8+10</f>
        <v>20</v>
      </c>
      <c r="C9" s="2"/>
      <c r="D9" s="2"/>
      <c r="E9" s="2" cm="1">
        <f t="array" ref="E9">INDEX('AG2024'!AU$10:AU$130,$A9+1,1)</f>
        <v>7.8800277639047955E-2</v>
      </c>
      <c r="F9" s="2" cm="1">
        <f t="array" ref="F9">INDEX('AG2024'!AV$10:AV$130,$A9+1,1)</f>
        <v>7.0021030596965295E-2</v>
      </c>
      <c r="G9" s="2" cm="1">
        <f t="array" ref="G9">INDEX('AG2024'!AW$10:AW$130,$A9+1,1)</f>
        <v>0.10463000086621921</v>
      </c>
      <c r="I9" s="2"/>
      <c r="J9" s="2"/>
      <c r="K9" s="2" cm="1">
        <f t="array" ref="K9">INDEX('AG2024'!BA$10:BA$130,$A9+1,1)</f>
        <v>0.15916196627862644</v>
      </c>
      <c r="L9" s="2" cm="1">
        <f t="array" ref="L9">INDEX('AG2024'!BB$10:BB$130,$A9+1,1)</f>
        <v>0.14297710985135989</v>
      </c>
      <c r="M9" s="2" cm="1">
        <f t="array" ref="M9">INDEX('AG2024'!BC$10:BC$130,$A9+1,1)</f>
        <v>0.19642403131327621</v>
      </c>
      <c r="Q9" s="8" cm="1">
        <f t="array" ref="Q9">INDEX('AG2024'!AO$10:AO$130,$A9+1,1)</f>
        <v>71.199057535567817</v>
      </c>
      <c r="R9" s="8" cm="1">
        <f t="array" ref="R9">INDEX('AG2024'!AP$10:AP$130,$A9+1,1)</f>
        <v>73.226496597878921</v>
      </c>
      <c r="S9" s="8" cm="1">
        <f t="array" ref="S9">INDEX('AG2024'!AQ$10:AQ$130,$A9+1,1)</f>
        <v>60.759361492104404</v>
      </c>
    </row>
    <row r="10" spans="1:19" x14ac:dyDescent="0.3">
      <c r="A10">
        <f t="shared" si="0"/>
        <v>30</v>
      </c>
      <c r="C10" s="2"/>
      <c r="D10" s="2"/>
      <c r="E10" s="2" cm="1">
        <f t="array" ref="E10">INDEX('AG2024'!AU$10:AU$130,$A10+1,1)</f>
        <v>9.0056618208775419E-2</v>
      </c>
      <c r="F10" s="2" cm="1">
        <f t="array" ref="F10">INDEX('AG2024'!AV$10:AV$130,$A10+1,1)</f>
        <v>7.9998359810685038E-2</v>
      </c>
      <c r="G10" s="2" cm="1">
        <f t="array" ref="G10">INDEX('AG2024'!AW$10:AW$130,$A10+1,1)</f>
        <v>0.12159719393999346</v>
      </c>
      <c r="I10" s="2"/>
      <c r="J10" s="2"/>
      <c r="K10" s="2" cm="1">
        <f t="array" ref="K10">INDEX('AG2024'!BA$10:BA$130,$A10+1,1)</f>
        <v>0.17980599827630098</v>
      </c>
      <c r="L10" s="2" cm="1">
        <f t="array" ref="L10">INDEX('AG2024'!BB$10:BB$130,$A10+1,1)</f>
        <v>0.16161261945745997</v>
      </c>
      <c r="M10" s="2" cm="1">
        <f t="array" ref="M10">INDEX('AG2024'!BC$10:BC$130,$A10+1,1)</f>
        <v>0.22494353696303571</v>
      </c>
      <c r="Q10" s="8" cm="1">
        <f t="array" ref="Q10">INDEX('AG2024'!AO$10:AO$130,$A10+1,1)</f>
        <v>61.306651983207253</v>
      </c>
      <c r="R10" s="8" cm="1">
        <f t="array" ref="R10">INDEX('AG2024'!AP$10:AP$130,$A10+1,1)</f>
        <v>63.301105177339274</v>
      </c>
      <c r="S10" s="8" cm="1">
        <f t="array" ref="S10">INDEX('AG2024'!AQ$10:AQ$130,$A10+1,1)</f>
        <v>50.96595237059131</v>
      </c>
    </row>
    <row r="11" spans="1:19" x14ac:dyDescent="0.3">
      <c r="A11">
        <f t="shared" si="0"/>
        <v>40</v>
      </c>
      <c r="C11" s="2"/>
      <c r="D11" s="2" cm="1">
        <f t="array" ref="D11">INDEX('AG2024'!AT$10:AT$130,$A11+1,1)</f>
        <v>0.118762675167851</v>
      </c>
      <c r="E11" s="2" cm="1">
        <f t="array" ref="E11">INDEX('AG2024'!AU$10:AU$130,$A11+1,1)</f>
        <v>0.10469742904866097</v>
      </c>
      <c r="F11" s="2" cm="1">
        <f t="array" ref="F11">INDEX('AG2024'!AV$10:AV$130,$A11+1,1)</f>
        <v>9.2957274849453042E-2</v>
      </c>
      <c r="G11" s="2" cm="1">
        <f t="array" ref="G11">INDEX('AG2024'!AW$10:AW$130,$A11+1,1)</f>
        <v>0.14552020166528379</v>
      </c>
      <c r="I11" s="2"/>
      <c r="J11" s="2" cm="1">
        <f t="array" ref="J11">INDEX('AG2024'!AZ$10:AZ$130,$A11+1,1)</f>
        <v>0.22965583117969021</v>
      </c>
      <c r="K11" s="2" cm="1">
        <f t="array" ref="K11">INDEX('AG2024'!BA$10:BA$130,$A11+1,1)</f>
        <v>0.20622927089559265</v>
      </c>
      <c r="L11" s="2" cm="1">
        <f t="array" ref="L11">INDEX('AG2024'!BB$10:BB$130,$A11+1,1)</f>
        <v>0.18530809287526279</v>
      </c>
      <c r="M11" s="2" cm="1">
        <f t="array" ref="M11">INDEX('AG2024'!BC$10:BC$130,$A11+1,1)</f>
        <v>0.26551943639506193</v>
      </c>
      <c r="P11" s="8" cm="1">
        <f t="array" ref="P11">INDEX('AG2024'!AN$10:AN$130,$A11+1,1)</f>
        <v>49.240793374193821</v>
      </c>
      <c r="Q11" s="8" cm="1">
        <f t="array" ref="Q11">INDEX('AG2024'!AO$10:AO$130,$A11+1,1)</f>
        <v>51.470996509652707</v>
      </c>
      <c r="R11" s="8" cm="1">
        <f t="array" ref="R11">INDEX('AG2024'!AP$10:AP$130,$A11+1,1)</f>
        <v>53.419976410244558</v>
      </c>
      <c r="S11" s="8" cm="1">
        <f t="array" ref="S11">INDEX('AG2024'!AQ$10:AQ$130,$A11+1,1)</f>
        <v>41.234582775122199</v>
      </c>
    </row>
    <row r="12" spans="1:19" x14ac:dyDescent="0.3">
      <c r="A12">
        <f t="shared" si="0"/>
        <v>50</v>
      </c>
      <c r="C12" s="2"/>
      <c r="D12" s="2" cm="1">
        <f t="array" ref="D12">INDEX('AG2024'!AT$10:AT$130,$A12+1,1)</f>
        <v>0.13890278763980102</v>
      </c>
      <c r="E12" s="2" cm="1">
        <f t="array" ref="E12">INDEX('AG2024'!AU$10:AU$130,$A12+1,1)</f>
        <v>0.12255395420322579</v>
      </c>
      <c r="F12" s="2" cm="1">
        <f t="array" ref="F12">INDEX('AG2024'!AV$10:AV$130,$A12+1,1)</f>
        <v>0.10902806764849282</v>
      </c>
      <c r="G12" s="2" cm="1">
        <f t="array" ref="G12">INDEX('AG2024'!AW$10:AW$130,$A12+1,1)</f>
        <v>0.17887383058091655</v>
      </c>
      <c r="I12" s="2"/>
      <c r="J12" s="2" cm="1">
        <f t="array" ref="J12">INDEX('AG2024'!AZ$10:AZ$130,$A12+1,1)</f>
        <v>0.26336235436022137</v>
      </c>
      <c r="K12" s="2" cm="1">
        <f t="array" ref="K12">INDEX('AG2024'!BA$10:BA$130,$A12+1,1)</f>
        <v>0.2363581830725332</v>
      </c>
      <c r="L12" s="2" cm="1">
        <f t="array" ref="L12">INDEX('AG2024'!BB$10:BB$130,$A12+1,1)</f>
        <v>0.21260453832806314</v>
      </c>
      <c r="M12" s="2" cm="1">
        <f t="array" ref="M12">INDEX('AG2024'!BC$10:BC$130,$A12+1,1)</f>
        <v>0.32147344873538536</v>
      </c>
      <c r="P12" s="8" cm="1">
        <f t="array" ref="P12">INDEX('AG2024'!AN$10:AN$130,$A12+1,1)</f>
        <v>39.692653575126471</v>
      </c>
      <c r="Q12" s="8" cm="1">
        <f t="array" ref="Q12">INDEX('AG2024'!AO$10:AO$130,$A12+1,1)</f>
        <v>41.813958174724959</v>
      </c>
      <c r="R12" s="8" cm="1">
        <f t="array" ref="R12">INDEX('AG2024'!AP$10:AP$130,$A12+1,1)</f>
        <v>43.675964327392016</v>
      </c>
      <c r="S12" s="8" cm="1">
        <f t="array" ref="S12">INDEX('AG2024'!AQ$10:AQ$130,$A12+1,1)</f>
        <v>31.71973144140479</v>
      </c>
    </row>
    <row r="13" spans="1:19" x14ac:dyDescent="0.3">
      <c r="A13">
        <f t="shared" si="0"/>
        <v>60</v>
      </c>
      <c r="C13" s="2" cm="1">
        <f t="array" ref="C13">INDEX('AG2024'!AS$10:AS$130,$A13+1,1)</f>
        <v>0.18428642031321674</v>
      </c>
      <c r="D13" s="2" cm="1">
        <f t="array" ref="D13">INDEX('AG2024'!AT$10:AT$130,$A13+1,1)</f>
        <v>0.16211683262379528</v>
      </c>
      <c r="E13" s="2" cm="1">
        <f t="array" ref="E13">INDEX('AG2024'!AU$10:AU$130,$A13+1,1)</f>
        <v>0.14350767513192331</v>
      </c>
      <c r="F13" s="2" cm="1">
        <f t="array" ref="F13">INDEX('AG2024'!AV$10:AV$130,$A13+1,1)</f>
        <v>0.12838849762487603</v>
      </c>
      <c r="G13" s="2" cm="1">
        <f t="array" ref="G13">INDEX('AG2024'!AW$10:AW$130,$A13+1,1)</f>
        <v>0.22188591139289504</v>
      </c>
      <c r="I13" s="2" cm="1">
        <f t="array" ref="I13">INDEX('AG2024'!AY$10:AY$130,$A13+1,1)</f>
        <v>0.3345959261757202</v>
      </c>
      <c r="J13" s="2" cm="1">
        <f t="array" ref="J13">INDEX('AG2024'!AZ$10:AZ$130,$A13+1,1)</f>
        <v>0.29911950276449972</v>
      </c>
      <c r="K13" s="2" cm="1">
        <f t="array" ref="K13">INDEX('AG2024'!BA$10:BA$130,$A13+1,1)</f>
        <v>0.26818202025347865</v>
      </c>
      <c r="L13" s="2" cm="1">
        <f t="array" ref="L13">INDEX('AG2024'!BB$10:BB$130,$A13+1,1)</f>
        <v>0.24176854463982489</v>
      </c>
      <c r="M13" s="2" cm="1">
        <f t="array" ref="M13">INDEX('AG2024'!BC$10:BC$130,$A13+1,1)</f>
        <v>0.39219581511006169</v>
      </c>
      <c r="O13" s="8" cm="1">
        <f t="array" ref="O13">INDEX('AG2024'!AM$10:AM$130,$A13+1,1)</f>
        <v>28.31770401414062</v>
      </c>
      <c r="P13" s="8" cm="1">
        <f t="array" ref="P13">INDEX('AG2024'!AN$10:AN$130,$A13+1,1)</f>
        <v>30.506201611079074</v>
      </c>
      <c r="Q13" s="8" cm="1">
        <f t="array" ref="Q13">INDEX('AG2024'!AO$10:AO$130,$A13+1,1)</f>
        <v>32.451581654177211</v>
      </c>
      <c r="R13" s="8" cm="1">
        <f t="array" ref="R13">INDEX('AG2024'!AP$10:AP$130,$A13+1,1)</f>
        <v>34.168334425381566</v>
      </c>
      <c r="S13" s="8" cm="1">
        <f t="array" ref="S13">INDEX('AG2024'!AQ$10:AQ$130,$A13+1,1)</f>
        <v>22.765038195476933</v>
      </c>
    </row>
    <row r="14" spans="1:19" x14ac:dyDescent="0.3">
      <c r="A14">
        <f t="shared" si="0"/>
        <v>70</v>
      </c>
      <c r="C14" s="2" cm="1">
        <f t="array" ref="C14">INDEX('AG2024'!AS$10:AS$130,$A14+1,1)</f>
        <v>0.21930693724925776</v>
      </c>
      <c r="D14" s="2" cm="1">
        <f t="array" ref="D14">INDEX('AG2024'!AT$10:AT$130,$A14+1,1)</f>
        <v>0.19475354983656268</v>
      </c>
      <c r="E14" s="2" cm="1">
        <f t="array" ref="E14">INDEX('AG2024'!AU$10:AU$130,$A14+1,1)</f>
        <v>0.17441878940971056</v>
      </c>
      <c r="F14" s="2" cm="1">
        <f t="array" ref="F14">INDEX('AG2024'!AV$10:AV$130,$A14+1,1)</f>
        <v>0.15807677563347444</v>
      </c>
      <c r="G14" s="2" cm="1">
        <f t="array" ref="G14">INDEX('AG2024'!AW$10:AW$130,$A14+1,1)</f>
        <v>0.27540914273252204</v>
      </c>
      <c r="I14" s="2" cm="1">
        <f t="array" ref="I14">INDEX('AG2024'!AY$10:AY$130,$A14+1,1)</f>
        <v>0.38898204176991541</v>
      </c>
      <c r="J14" s="2" cm="1">
        <f t="array" ref="J14">INDEX('AG2024'!AZ$10:AZ$130,$A14+1,1)</f>
        <v>0.34861710197053825</v>
      </c>
      <c r="K14" s="2" cm="1">
        <f t="array" ref="K14">INDEX('AG2024'!BA$10:BA$130,$A14+1,1)</f>
        <v>0.31446678919126064</v>
      </c>
      <c r="L14" s="2" cm="1">
        <f t="array" ref="L14">INDEX('AG2024'!BB$10:BB$130,$A14+1,1)</f>
        <v>0.28622558192687053</v>
      </c>
      <c r="M14" s="2" cm="1">
        <f t="array" ref="M14">INDEX('AG2024'!BC$10:BC$130,$A14+1,1)</f>
        <v>0.48133579082835209</v>
      </c>
      <c r="O14" s="8" cm="1">
        <f t="array" ref="O14">INDEX('AG2024'!AM$10:AM$130,$A14+1,1)</f>
        <v>19.788180376448313</v>
      </c>
      <c r="P14" s="8" cm="1">
        <f t="array" ref="P14">INDEX('AG2024'!AN$10:AN$130,$A14+1,1)</f>
        <v>21.63928543681163</v>
      </c>
      <c r="Q14" s="8" cm="1">
        <f t="array" ref="Q14">INDEX('AG2024'!AO$10:AO$130,$A14+1,1)</f>
        <v>23.314001478872999</v>
      </c>
      <c r="R14" s="8" cm="1">
        <f t="array" ref="R14">INDEX('AG2024'!AP$10:AP$130,$A14+1,1)</f>
        <v>24.815740159115474</v>
      </c>
      <c r="S14" s="8" cm="1">
        <f t="array" ref="S14">INDEX('AG2024'!AQ$10:AQ$130,$A14+1,1)</f>
        <v>14.745298048217672</v>
      </c>
    </row>
    <row r="15" spans="1:19" x14ac:dyDescent="0.3">
      <c r="A15">
        <f t="shared" si="0"/>
        <v>80</v>
      </c>
      <c r="C15" s="2" cm="1">
        <f t="array" ref="C15">INDEX('AG2024'!AS$10:AS$130,$A15+1,1)</f>
        <v>0.28373491702934195</v>
      </c>
      <c r="D15" s="2" cm="1">
        <f t="array" ref="D15">INDEX('AG2024'!AT$10:AT$130,$A15+1,1)</f>
        <v>0.25991025743453644</v>
      </c>
      <c r="E15" s="2" cm="1">
        <f t="array" ref="E15">INDEX('AG2024'!AU$10:AU$130,$A15+1,1)</f>
        <v>0.23919951343498236</v>
      </c>
      <c r="F15" s="2" cm="1">
        <f t="array" ref="F15">INDEX('AG2024'!AV$10:AV$130,$A15+1,1)</f>
        <v>0.22151906710135194</v>
      </c>
      <c r="G15" s="2" cm="1">
        <f t="array" ref="G15">INDEX('AG2024'!AW$10:AW$130,$A15+1,1)</f>
        <v>0.34457276218958699</v>
      </c>
      <c r="I15" s="2" cm="1">
        <f t="array" ref="I15">INDEX('AG2024'!AY$10:AY$130,$A15+1,1)</f>
        <v>0.49704439767257991</v>
      </c>
      <c r="J15" s="2" cm="1">
        <f t="array" ref="J15">INDEX('AG2024'!AZ$10:AZ$130,$A15+1,1)</f>
        <v>0.45622588478359033</v>
      </c>
      <c r="K15" s="2" cm="1">
        <f t="array" ref="K15">INDEX('AG2024'!BA$10:BA$130,$A15+1,1)</f>
        <v>0.4210035124867737</v>
      </c>
      <c r="L15" s="2" cm="1">
        <f t="array" ref="L15">INDEX('AG2024'!BB$10:BB$130,$A15+1,1)</f>
        <v>0.39093177535123785</v>
      </c>
      <c r="M15" s="2" cm="1">
        <f t="array" ref="M15">INDEX('AG2024'!BC$10:BC$130,$A15+1,1)</f>
        <v>0.60663644835578512</v>
      </c>
      <c r="O15" s="8" cm="1">
        <f t="array" ref="O15">INDEX('AG2024'!AM$10:AM$130,$A15+1,1)</f>
        <v>11.7809762503448</v>
      </c>
      <c r="P15" s="8" cm="1">
        <f t="array" ref="P15">INDEX('AG2024'!AN$10:AN$130,$A15+1,1)</f>
        <v>13.108722787766972</v>
      </c>
      <c r="Q15" s="8" cm="1">
        <f t="array" ref="Q15">INDEX('AG2024'!AO$10:AO$130,$A15+1,1)</f>
        <v>14.376501170515843</v>
      </c>
      <c r="R15" s="8" cm="1">
        <f t="array" ref="R15">INDEX('AG2024'!AP$10:AP$130,$A15+1,1)</f>
        <v>15.573109199581596</v>
      </c>
      <c r="S15" s="8" cm="1">
        <f t="array" ref="S15">INDEX('AG2024'!AQ$10:AQ$130,$A15+1,1)</f>
        <v>8.1055340940000669</v>
      </c>
    </row>
    <row r="16" spans="1:19" x14ac:dyDescent="0.3">
      <c r="A16">
        <f t="shared" si="0"/>
        <v>90</v>
      </c>
      <c r="C16" s="2" cm="1">
        <f t="array" ref="C16">INDEX('AG2024'!AS$10:AS$130,$A16+1,1)</f>
        <v>0.38534936119978991</v>
      </c>
      <c r="D16" s="2" cm="1">
        <f t="array" ref="D16">INDEX('AG2024'!AT$10:AT$130,$A16+1,1)</f>
        <v>0.36994511861424118</v>
      </c>
      <c r="E16" s="2" cm="1">
        <f t="array" ref="E16">INDEX('AG2024'!AU$10:AU$130,$A16+1,1)</f>
        <v>0.35443511987593446</v>
      </c>
      <c r="F16" s="2" cm="1">
        <f t="array" ref="F16">INDEX('AG2024'!AV$10:AV$130,$A16+1,1)</f>
        <v>0.33917565455478249</v>
      </c>
      <c r="G16" s="2" cm="1">
        <f t="array" ref="G16">INDEX('AG2024'!AW$10:AW$130,$A16+1,1)</f>
        <v>0.42848492927734994</v>
      </c>
      <c r="I16" s="2" cm="1">
        <f t="array" ref="I16">INDEX('AG2024'!AY$10:AY$130,$A16+1,1)</f>
        <v>0.68972454023697982</v>
      </c>
      <c r="J16" s="2" cm="1">
        <f t="array" ref="J16">INDEX('AG2024'!AZ$10:AZ$130,$A16+1,1)</f>
        <v>0.65841087862588321</v>
      </c>
      <c r="K16" s="2" cm="1">
        <f t="array" ref="K16">INDEX('AG2024'!BA$10:BA$130,$A16+1,1)</f>
        <v>0.62804916266386357</v>
      </c>
      <c r="L16" s="2" cm="1">
        <f t="array" ref="L16">INDEX('AG2024'!BB$10:BB$130,$A16+1,1)</f>
        <v>0.59910325379874585</v>
      </c>
      <c r="M16" s="2" cm="1">
        <f t="array" ref="M16">INDEX('AG2024'!BC$10:BC$130,$A16+1,1)</f>
        <v>0.78662715636134584</v>
      </c>
      <c r="O16" s="8" cm="1">
        <f t="array" ref="O16">INDEX('AG2024'!AM$10:AM$130,$A16+1,1)</f>
        <v>5.5435789396770501</v>
      </c>
      <c r="P16" s="8" cm="1">
        <f t="array" ref="P16">INDEX('AG2024'!AN$10:AN$130,$A16+1,1)</f>
        <v>6.2147287804084179</v>
      </c>
      <c r="Q16" s="8" cm="1">
        <f t="array" ref="Q16">INDEX('AG2024'!AO$10:AO$130,$A16+1,1)</f>
        <v>6.9128630188869371</v>
      </c>
      <c r="R16" s="8" cm="1">
        <f t="array" ref="R16">INDEX('AG2024'!AP$10:AP$130,$A16+1,1)</f>
        <v>7.6277115334007517</v>
      </c>
      <c r="S16" s="8" cm="1">
        <f t="array" ref="S16">INDEX('AG2024'!AQ$10:AQ$130,$A16+1,1)</f>
        <v>3.6523261910315576</v>
      </c>
    </row>
    <row r="17" spans="1:19" x14ac:dyDescent="0.3">
      <c r="A17">
        <f t="shared" si="0"/>
        <v>100</v>
      </c>
      <c r="C17" s="2" cm="1">
        <f t="array" ref="C17">INDEX('AG2024'!AS$10:AS$130,$A17+1,1)</f>
        <v>0.45491401586781066</v>
      </c>
      <c r="D17" s="2" cm="1">
        <f t="array" ref="D17">INDEX('AG2024'!AT$10:AT$130,$A17+1,1)</f>
        <v>0.44985555742004557</v>
      </c>
      <c r="E17" s="2" cm="1">
        <f t="array" ref="E17">INDEX('AG2024'!AU$10:AU$130,$A17+1,1)</f>
        <v>0.4441233326123768</v>
      </c>
      <c r="F17" s="2" cm="1">
        <f t="array" ref="F17">INDEX('AG2024'!AV$10:AV$130,$A17+1,1)</f>
        <v>0.43783315143387358</v>
      </c>
      <c r="G17" s="2" cm="1">
        <f t="array" ref="G17">INDEX('AG2024'!AW$10:AW$130,$A17+1,1)</f>
        <v>0.46483510909791681</v>
      </c>
      <c r="I17" s="2" cm="1">
        <f t="array" ref="I17">INDEX('AG2024'!AY$10:AY$130,$A17+1,1)</f>
        <v>0.86034242962078078</v>
      </c>
      <c r="J17" s="2" cm="1">
        <f t="array" ref="J17">INDEX('AG2024'!AZ$10:AZ$130,$A17+1,1)</f>
        <v>0.84577256153032387</v>
      </c>
      <c r="K17" s="2" cm="1">
        <f t="array" ref="K17">INDEX('AG2024'!BA$10:BA$130,$A17+1,1)</f>
        <v>0.83009581883771</v>
      </c>
      <c r="L17" s="2" cm="1">
        <f t="array" ref="L17">INDEX('AG2024'!BB$10:BB$130,$A17+1,1)</f>
        <v>0.81363743886693329</v>
      </c>
      <c r="M17" s="2" cm="1">
        <f t="array" ref="M17">INDEX('AG2024'!BC$10:BC$130,$A17+1,1)</f>
        <v>0.89384098435922454</v>
      </c>
      <c r="O17" s="8" cm="1">
        <f t="array" ref="O17">INDEX('AG2024'!AM$10:AM$130,$A17+1,1)</f>
        <v>2.4836919815668952</v>
      </c>
      <c r="P17" s="8" cm="1">
        <f t="array" ref="P17">INDEX('AG2024'!AN$10:AN$130,$A17+1,1)</f>
        <v>2.7294202875434039</v>
      </c>
      <c r="Q17" s="8" cm="1">
        <f t="array" ref="Q17">INDEX('AG2024'!AO$10:AO$130,$A17+1,1)</f>
        <v>2.9935374346892911</v>
      </c>
      <c r="R17" s="8" cm="1">
        <f t="array" ref="R17">INDEX('AG2024'!AP$10:AP$130,$A17+1,1)</f>
        <v>3.2745973959718744</v>
      </c>
      <c r="S17" s="8" cm="1">
        <f t="array" ref="S17">INDEX('AG2024'!AQ$10:AQ$130,$A17+1,1)</f>
        <v>1.7952763124703766</v>
      </c>
    </row>
    <row r="19" spans="1:19" x14ac:dyDescent="0.3">
      <c r="C19" t="s">
        <v>93</v>
      </c>
      <c r="I19" t="s">
        <v>94</v>
      </c>
    </row>
    <row r="20" spans="1:19" x14ac:dyDescent="0.3">
      <c r="A20" t="s">
        <v>91</v>
      </c>
    </row>
    <row r="21" spans="1:19" x14ac:dyDescent="0.3">
      <c r="A21">
        <v>0</v>
      </c>
      <c r="F21" cm="1">
        <f t="array" ref="F21">GompEtafromGini(F7)</f>
        <v>3.5336778626850693E-6</v>
      </c>
      <c r="G21" cm="1">
        <f t="array" ref="G21">GompEtafromGini(G7)</f>
        <v>1.2269841487421313E-4</v>
      </c>
      <c r="L21" cm="1">
        <f t="array" ref="L21">GompEtafromCoV(L7)</f>
        <v>1.9605493455921967E-5</v>
      </c>
      <c r="M21" cm="1">
        <f t="array" ref="M21">GompEtafromCoV(M7)</f>
        <v>1.8665994297819316E-4</v>
      </c>
    </row>
    <row r="22" spans="1:19" x14ac:dyDescent="0.3">
      <c r="A22">
        <f>A21+10</f>
        <v>10</v>
      </c>
      <c r="F22" cm="1">
        <f t="array" ref="F22">GompEtafromGini(F8)</f>
        <v>8.0750309611501999E-6</v>
      </c>
      <c r="G22" cm="1">
        <f t="array" ref="G22">GompEtafromGini(G8)</f>
        <v>2.8147052181426977E-4</v>
      </c>
      <c r="L22" cm="1">
        <f t="array" ref="L22">GompEtafromCoV(L8)</f>
        <v>2.5252215053053447E-5</v>
      </c>
      <c r="M22" cm="1">
        <f t="array" ref="M22">GompEtafromCoV(M8)</f>
        <v>3.4355375132770342E-4</v>
      </c>
    </row>
    <row r="23" spans="1:19" x14ac:dyDescent="0.3">
      <c r="A23">
        <f t="shared" ref="A23:A31" si="1">A22+10</f>
        <v>20</v>
      </c>
      <c r="E23" cm="1">
        <f t="array" ref="E23">GompEtafromGini(E9)</f>
        <v>8.5800866879743754E-5</v>
      </c>
      <c r="F23" cm="1">
        <f t="array" ref="F23">GompEtafromGini(F9)</f>
        <v>2.8312966004814903E-5</v>
      </c>
      <c r="G23" cm="1">
        <f t="array" ref="G23">GompEtafromGini(G9)</f>
        <v>7.8523737752225959E-4</v>
      </c>
      <c r="K23" cm="1">
        <f t="array" ref="K23">GompEtafromCoV(K9)</f>
        <v>1.8464123089864638E-4</v>
      </c>
      <c r="L23" cm="1">
        <f t="array" ref="L23">GompEtafromCoV(L9)</f>
        <v>7.2839776056636703E-5</v>
      </c>
      <c r="M23" cm="1">
        <f t="array" ref="M23">GompEtafromCoV(M9)</f>
        <v>9.1139843400810897E-4</v>
      </c>
    </row>
    <row r="24" spans="1:19" x14ac:dyDescent="0.3">
      <c r="A24">
        <f t="shared" si="1"/>
        <v>30</v>
      </c>
      <c r="E24" cm="1">
        <f t="array" ref="E24">GompEtafromGini(E10)</f>
        <v>2.6109993451035852E-4</v>
      </c>
      <c r="F24" cm="1">
        <f t="array" ref="F24">GompEtafromGini(F10)</f>
        <v>9.7988627018721854E-5</v>
      </c>
      <c r="G24" cm="1">
        <f t="array" ref="G24">GompEtafromGini(G10)</f>
        <v>2.0823613174329987E-3</v>
      </c>
      <c r="K24" cm="1">
        <f t="array" ref="K24">GompEtafromCoV(K10)</f>
        <v>4.8142233146906797E-4</v>
      </c>
      <c r="L24" cm="1">
        <f t="array" ref="L24">GompEtafromCoV(L10)</f>
        <v>2.0933600660614878E-4</v>
      </c>
      <c r="M24" cm="1">
        <f t="array" ref="M24">GompEtafromCoV(M10)</f>
        <v>2.2471313666784171E-3</v>
      </c>
    </row>
    <row r="25" spans="1:19" x14ac:dyDescent="0.3">
      <c r="A25">
        <f t="shared" si="1"/>
        <v>40</v>
      </c>
      <c r="D25" cm="1">
        <f t="array" ref="D25">GompEtafromGini(D11)</f>
        <v>1.7998803807283206E-3</v>
      </c>
      <c r="E25" cm="1">
        <f t="array" ref="E25">GompEtafromGini(E11)</f>
        <v>7.8872588521641807E-4</v>
      </c>
      <c r="F25" cm="1">
        <f t="array" ref="F25">GompEtafromGini(F11)</f>
        <v>3.3354182276192724E-4</v>
      </c>
      <c r="G25" cm="1">
        <f t="array" ref="G25">GompEtafromGini(G11)</f>
        <v>5.8728898542438701E-3</v>
      </c>
      <c r="J25" cm="1">
        <f t="array" ref="J25">GompEtafromCoV(J11)</f>
        <v>2.5614454633360296E-3</v>
      </c>
      <c r="K25" cm="1">
        <f t="array" ref="K25">GompEtafromCoV(K11)</f>
        <v>1.272925230083777E-3</v>
      </c>
      <c r="L25" cm="1">
        <f t="array" ref="L25">GompEtafromCoV(L11)</f>
        <v>6.0140865733886802E-4</v>
      </c>
      <c r="M25" cm="1">
        <f t="array" ref="M25">GompEtafromCoV(M11)</f>
        <v>6.1288055233524067E-3</v>
      </c>
    </row>
    <row r="26" spans="1:19" x14ac:dyDescent="0.3">
      <c r="A26">
        <f t="shared" si="1"/>
        <v>50</v>
      </c>
      <c r="D26" cm="1">
        <f t="array" ref="D26">GompEtafromGini(D12)</f>
        <v>4.5398474628894339E-3</v>
      </c>
      <c r="E26" cm="1">
        <f t="array" ref="E26">GompEtafromGini(E12)</f>
        <v>2.1845195568311886E-3</v>
      </c>
      <c r="F26" cm="1">
        <f t="array" ref="F26">GompEtafromGini(F12)</f>
        <v>1.0376118416119929E-3</v>
      </c>
      <c r="G26" cm="1">
        <f t="array" ref="G26">GompEtafromGini(G12)</f>
        <v>1.7121588828862135E-2</v>
      </c>
      <c r="J26" cm="1">
        <f t="array" ref="J26">GompEtafromCoV(J12)</f>
        <v>5.8462334170321321E-3</v>
      </c>
      <c r="K26" cm="1">
        <f t="array" ref="K26">GompEtafromCoV(K12)</f>
        <v>3.063130643971795E-3</v>
      </c>
      <c r="L26" cm="1">
        <f t="array" ref="L26">GompEtafromCoV(L12)</f>
        <v>1.5594575535732617E-3</v>
      </c>
      <c r="M26" cm="1">
        <f t="array" ref="M26">GompEtafromCoV(M12)</f>
        <v>1.7629007117931472E-2</v>
      </c>
    </row>
    <row r="27" spans="1:19" x14ac:dyDescent="0.3">
      <c r="A27">
        <f t="shared" si="1"/>
        <v>60</v>
      </c>
      <c r="C27" cm="1">
        <f t="array" ref="C27">GompEtafromGini(C13)</f>
        <v>1.9833853062603338E-2</v>
      </c>
      <c r="D27" cm="1">
        <f t="array" ref="D27">GompEtafromGini(D13)</f>
        <v>1.0413586231583716E-2</v>
      </c>
      <c r="E27" cm="1">
        <f t="array" ref="E27">GompEtafromGini(E13)</f>
        <v>5.4414349337550622E-3</v>
      </c>
      <c r="F27" cm="1">
        <f t="array" ref="F27">GompEtafromGini(F13)</f>
        <v>2.8870684436532791E-3</v>
      </c>
      <c r="G27" cm="1">
        <f t="array" ref="G27">GompEtafromGini(G13)</f>
        <v>4.8343239679130276E-2</v>
      </c>
      <c r="I27" cm="1">
        <f t="array" ref="I27">GompEtafromCoV(I13)</f>
        <v>2.1768942660119025E-2</v>
      </c>
      <c r="J27" cm="1">
        <f t="array" ref="J27">GompEtafromCoV(J13)</f>
        <v>1.1960192656113386E-2</v>
      </c>
      <c r="K27" cm="1">
        <f t="array" ref="K27">GompEtafromCoV(K13)</f>
        <v>6.4913399593254989E-3</v>
      </c>
      <c r="L27" cm="1">
        <f t="array" ref="L27">GompEtafromCoV(L13)</f>
        <v>3.5183279473349916E-3</v>
      </c>
      <c r="M27" cm="1">
        <f t="array" ref="M27">GompEtafromCoV(M13)</f>
        <v>4.9102660609911392E-2</v>
      </c>
    </row>
    <row r="28" spans="1:19" x14ac:dyDescent="0.3">
      <c r="A28">
        <f t="shared" si="1"/>
        <v>70</v>
      </c>
      <c r="C28" cm="1">
        <f t="array" ref="C28">GompEtafromGini(C14)</f>
        <v>4.5743417953141734E-2</v>
      </c>
      <c r="D28" cm="1">
        <f t="array" ref="D28">GompEtafromGini(D14)</f>
        <v>2.5953775644935884E-2</v>
      </c>
      <c r="E28" cm="1">
        <f t="array" ref="E28">GompEtafromGini(E14)</f>
        <v>1.5100226437940671E-2</v>
      </c>
      <c r="F28" cm="1">
        <f t="array" ref="F28">GompEtafromGini(F14)</f>
        <v>9.1345623235703412E-3</v>
      </c>
      <c r="G28" cm="1">
        <f t="array" ref="G28">GompEtafromGini(G14)</f>
        <v>0.1349135984138054</v>
      </c>
      <c r="I28" cm="1">
        <f t="array" ref="I28">GompEtafromCoV(I14)</f>
        <v>4.7111788836442216E-2</v>
      </c>
      <c r="J28" cm="1">
        <f t="array" ref="J28">GompEtafromCoV(J14)</f>
        <v>2.6952122049166988E-2</v>
      </c>
      <c r="K28" cm="1">
        <f t="array" ref="K28">GompEtafromCoV(K14)</f>
        <v>1.5675060092244855E-2</v>
      </c>
      <c r="L28" cm="1">
        <f t="array" ref="L28">GompEtafromCoV(L14)</f>
        <v>9.3805929946705439E-3</v>
      </c>
      <c r="M28" cm="1">
        <f t="array" ref="M28">GompEtafromCoV(M14)</f>
        <v>0.13584712574499211</v>
      </c>
    </row>
    <row r="29" spans="1:19" x14ac:dyDescent="0.3">
      <c r="A29">
        <f t="shared" si="1"/>
        <v>80</v>
      </c>
      <c r="C29" cm="1">
        <f t="array" ref="C29">GompEtafromGini(C15)</f>
        <v>0.15597024897582717</v>
      </c>
      <c r="D29" cm="1">
        <f t="array" ref="D29">GompEtafromGini(D15)</f>
        <v>0.10215069739404037</v>
      </c>
      <c r="E29" cm="1">
        <f t="array" ref="E29">GompEtafromGini(E15)</f>
        <v>6.891839244364821E-2</v>
      </c>
      <c r="F29" cm="1">
        <f t="array" ref="F29">GompEtafromGini(F15)</f>
        <v>4.7966646569925768E-2</v>
      </c>
      <c r="G29" cm="1">
        <f t="array" ref="G29">GompEtafromGini(G15)</f>
        <v>0.42905686313399471</v>
      </c>
      <c r="I29" cm="1">
        <f t="array" ref="I29">GompEtafromCoV(I15)</f>
        <v>0.15928607255141328</v>
      </c>
      <c r="J29" cm="1">
        <f t="array" ref="J29">GompEtafromCoV(J15)</f>
        <v>0.10421536744990821</v>
      </c>
      <c r="K29" cm="1">
        <f t="array" ref="K29">GompEtafromCoV(K15)</f>
        <v>6.997669323163605E-2</v>
      </c>
      <c r="L29" cm="1">
        <f t="array" ref="L29">GompEtafromCoV(L15)</f>
        <v>4.8312097554238181E-2</v>
      </c>
      <c r="M29" cm="1">
        <f t="array" ref="M29">GompEtafromCoV(M15)</f>
        <v>0.43766485618214196</v>
      </c>
    </row>
    <row r="30" spans="1:19" x14ac:dyDescent="0.3">
      <c r="A30">
        <f t="shared" si="1"/>
        <v>90</v>
      </c>
      <c r="C30" cm="1">
        <f t="array" ref="C30">GompEtafromGini(C16)</f>
        <v>0.85492060959548433</v>
      </c>
      <c r="D30" cm="1">
        <f t="array" ref="D30">GompEtafromGini(D16)</f>
        <v>0.65494201314898959</v>
      </c>
      <c r="E30" cm="1">
        <f t="array" ref="E30">GompEtafromGini(E16)</f>
        <v>0.50495409989279993</v>
      </c>
      <c r="F30" cm="1">
        <f t="array" ref="F30">GompEtafromGini(F16)</f>
        <v>0.39264235109581253</v>
      </c>
      <c r="G30" cm="1">
        <f t="array" ref="G30">GompEtafromGini(G16)</f>
        <v>1.9805302067933606</v>
      </c>
      <c r="I30" cm="1">
        <f t="array" ref="I30">GompEtafromCoV(I16)</f>
        <v>0.88600397238176654</v>
      </c>
      <c r="J30" cm="1">
        <f t="array" ref="J30">GompEtafromCoV(J16)</f>
        <v>0.68070610675082288</v>
      </c>
      <c r="K30" cm="1">
        <f t="array" ref="K30">GompEtafromCoV(K16)</f>
        <v>0.52616252607329406</v>
      </c>
      <c r="L30" cm="1">
        <f t="array" ref="L30">GompEtafromCoV(L16)</f>
        <v>0.40992544494060335</v>
      </c>
      <c r="M30" cm="1">
        <f t="array" ref="M30">GompEtafromCoV(M16)</f>
        <v>2.048283589848404</v>
      </c>
    </row>
    <row r="31" spans="1:19" x14ac:dyDescent="0.3">
      <c r="A31">
        <f t="shared" si="1"/>
        <v>100</v>
      </c>
      <c r="C31" cm="1">
        <f t="array" ref="C31">GompEtafromGini(C17)</f>
        <v>3.8860846669564015</v>
      </c>
      <c r="D31" cm="1">
        <f t="array" ref="D31">GompEtafromGini(D17)</f>
        <v>3.3563894143701978</v>
      </c>
      <c r="E31" cm="1">
        <f t="array" ref="E31">GompEtafromGini(E17)</f>
        <v>2.8771979178500389</v>
      </c>
      <c r="F31" cm="1">
        <f t="array" ref="F31">GompEtafromGini(F17)</f>
        <v>2.4584007004174779</v>
      </c>
      <c r="G31" cm="1">
        <f t="array" ref="G31">GompEtafromGini(G17)</f>
        <v>5.3886020070928282</v>
      </c>
      <c r="I31" cm="1">
        <f t="array" ref="I31">GompEtafromCoV(I17)</f>
        <v>4.2644590051373692</v>
      </c>
      <c r="J31" cm="1">
        <f t="array" ref="J31">GompEtafromCoV(J17)</f>
        <v>3.641298309970471</v>
      </c>
      <c r="K31" cm="1">
        <f t="array" ref="K31">GompEtafromCoV(K17)</f>
        <v>3.0989713267018839</v>
      </c>
      <c r="L31" cm="1">
        <f t="array" ref="L31">GompEtafromCoV(L17)</f>
        <v>2.636465720283832</v>
      </c>
      <c r="M31" cm="1">
        <f t="array" ref="M31">GompEtafromCoV(M17)</f>
        <v>6.3961106451669085</v>
      </c>
    </row>
    <row r="33" spans="1:13" x14ac:dyDescent="0.3">
      <c r="C33" t="s">
        <v>95</v>
      </c>
      <c r="I33" t="s">
        <v>97</v>
      </c>
    </row>
    <row r="34" spans="1:13" x14ac:dyDescent="0.3">
      <c r="A34" t="s">
        <v>91</v>
      </c>
    </row>
    <row r="35" spans="1:13" x14ac:dyDescent="0.3">
      <c r="A35">
        <v>0</v>
      </c>
      <c r="C35" s="2"/>
      <c r="D35" s="2"/>
      <c r="E35" s="2"/>
      <c r="F35" s="2" cm="1">
        <f t="array" ref="F35">GompMean(F21,0)/R7</f>
        <v>0.12885557200769027</v>
      </c>
      <c r="G35" s="2" cm="1">
        <f t="array" ref="G35">GompMean(G21,0)/S7</f>
        <v>0.10477222619947213</v>
      </c>
      <c r="L35" s="2" cm="1">
        <f t="array" ref="L35">GompMean(L21,0)/R7</f>
        <v>0.11042139860602335</v>
      </c>
      <c r="M35" s="2" cm="1">
        <f t="array" ref="M35">GompMean(M21,0)/S7</f>
        <v>9.9564089572736603E-2</v>
      </c>
    </row>
    <row r="36" spans="1:13" x14ac:dyDescent="0.3">
      <c r="A36">
        <f>A35+10</f>
        <v>10</v>
      </c>
      <c r="C36" s="2"/>
      <c r="D36" s="2"/>
      <c r="E36" s="2"/>
      <c r="F36" s="2" cm="1">
        <f t="array" ref="F36">GompMean(F22,0)/R8</f>
        <v>0.13404684042765927</v>
      </c>
      <c r="G36" s="2" cm="1">
        <f t="array" ref="G36">GompMean(G22,0)/S8</f>
        <v>0.10754685151024716</v>
      </c>
      <c r="L36" s="2" cm="1">
        <f t="array" ref="L36">GompMean(L22,0)/R8</f>
        <v>0.12034164504365785</v>
      </c>
      <c r="M36" s="2" cm="1">
        <f t="array" ref="M36">GompMean(M22,0)/S8</f>
        <v>0.10473319425008064</v>
      </c>
    </row>
    <row r="37" spans="1:13" x14ac:dyDescent="0.3">
      <c r="A37">
        <f t="shared" ref="A37:A45" si="2">A36+10</f>
        <v>20</v>
      </c>
      <c r="C37" s="2"/>
      <c r="D37" s="2"/>
      <c r="E37" s="2" cm="1">
        <f t="array" ref="E37">GompMean(E23,0)/Q9</f>
        <v>0.12341603660537487</v>
      </c>
      <c r="F37" s="2" cm="1">
        <f t="array" ref="F37">GompMean(F23,0)/R9</f>
        <v>0.13513255397958379</v>
      </c>
      <c r="G37" s="2" cm="1">
        <f t="array" ref="G37">GompMean(G23,0)/S9</f>
        <v>0.10826738821781769</v>
      </c>
      <c r="K37" s="2" cm="1">
        <f t="array" ref="K37">GompMean(K23,0)/Q9</f>
        <v>0.11266365209059047</v>
      </c>
      <c r="L37" s="2" cm="1">
        <f t="array" ref="L37">GompMean(L23,0)/R9</f>
        <v>0.12223386225472414</v>
      </c>
      <c r="M37" s="2" cm="1">
        <f t="array" ref="M37">GompMean(M23,0)/S9</f>
        <v>0.10582868983079038</v>
      </c>
    </row>
    <row r="38" spans="1:13" x14ac:dyDescent="0.3">
      <c r="A38">
        <f t="shared" si="2"/>
        <v>30</v>
      </c>
      <c r="C38" s="2"/>
      <c r="D38" s="2"/>
      <c r="E38" s="2" cm="1">
        <f t="array" ref="E38">GompMean(E24,0)/Q10</f>
        <v>0.12520104025573922</v>
      </c>
      <c r="F38" s="2" cm="1">
        <f t="array" ref="F38">GompMean(F24,0)/R10</f>
        <v>0.13671782544916869</v>
      </c>
      <c r="G38" s="2" cm="1">
        <f t="array" ref="G38">GompMean(G24,0)/S10</f>
        <v>0.11008898426907002</v>
      </c>
      <c r="K38" s="2" cm="1">
        <f t="array" ref="K38">GompMean(K24,0)/Q10</f>
        <v>0.11524739574145537</v>
      </c>
      <c r="L38" s="2" cm="1">
        <f t="array" ref="L38">GompMean(L24,0)/R10</f>
        <v>0.12474057660230017</v>
      </c>
      <c r="M38" s="2" cm="1">
        <f t="array" ref="M38">GompMean(M24,0)/S10</f>
        <v>0.1086128273444068</v>
      </c>
    </row>
    <row r="39" spans="1:13" x14ac:dyDescent="0.3">
      <c r="A39">
        <f t="shared" si="2"/>
        <v>40</v>
      </c>
      <c r="C39" s="2"/>
      <c r="D39" s="2" cm="1">
        <f t="array" ref="D39">GompMean(D25,0)/P11</f>
        <v>0.11687397825495502</v>
      </c>
      <c r="E39" s="2" cm="1">
        <f t="array" ref="E39">GompMean(E25,0)/Q11</f>
        <v>0.12771945345478036</v>
      </c>
      <c r="F39" s="2" cm="1">
        <f t="array" ref="F39">GompMean(F25,0)/R11</f>
        <v>0.13911160004563686</v>
      </c>
      <c r="G39" s="2" cm="1">
        <f t="array" ref="G39">GompMean(G25,0)/S11</f>
        <v>0.11138591953098999</v>
      </c>
      <c r="J39" s="2" cm="1">
        <f t="array" ref="J39">GompMean(J25,0)/P11</f>
        <v>0.10979429223995542</v>
      </c>
      <c r="K39" s="2" cm="1">
        <f t="array" ref="K39">GompMean(K25,0)/Q11</f>
        <v>0.11847938928395477</v>
      </c>
      <c r="L39" s="2" cm="1">
        <f t="array" ref="L39">GompMean(L25,0)/R11</f>
        <v>0.12811192834998397</v>
      </c>
      <c r="M39" s="2" cm="1">
        <f t="array" ref="M39">GompMean(M25,0)/S11</f>
        <v>0.11037989528736131</v>
      </c>
    </row>
    <row r="40" spans="1:13" x14ac:dyDescent="0.3">
      <c r="A40">
        <f t="shared" si="2"/>
        <v>50</v>
      </c>
      <c r="C40" s="2"/>
      <c r="D40" s="2" cm="1">
        <f t="array" ref="D40">GompMean(D26,0)/P12</f>
        <v>0.12204078586270767</v>
      </c>
      <c r="E40" s="2" cm="1">
        <f t="array" ref="E40">GompMean(E26,0)/Q12</f>
        <v>0.1330528727734927</v>
      </c>
      <c r="F40" s="2" cm="1">
        <f t="array" ref="F40">GompMean(F26,0)/R12</f>
        <v>0.14427134204993686</v>
      </c>
      <c r="G40" s="2" cm="1">
        <f t="array" ref="G40">GompMean(G26,0)/S12</f>
        <v>0.11247934763462927</v>
      </c>
      <c r="J40" s="2" cm="1">
        <f t="array" ref="J40">GompMean(J26,0)/P12</f>
        <v>0.11582442196057341</v>
      </c>
      <c r="K40" s="2" cm="1">
        <f t="array" ref="K40">GompMean(K26,0)/Q12</f>
        <v>0.12508165451369987</v>
      </c>
      <c r="L40" s="2" cm="1">
        <f t="array" ref="L40">GompMean(L26,0)/R12</f>
        <v>0.13501589241116801</v>
      </c>
      <c r="M40" s="2" cm="1">
        <f t="array" ref="M40">GompMean(M26,0)/S12</f>
        <v>0.11161546521174456</v>
      </c>
    </row>
    <row r="41" spans="1:13" x14ac:dyDescent="0.3">
      <c r="A41">
        <f t="shared" si="2"/>
        <v>60</v>
      </c>
      <c r="C41" s="2" cm="1">
        <f t="array" ref="C41">GompMean(C27,0)/O13</f>
        <v>0.12113447264281041</v>
      </c>
      <c r="D41" s="2" cm="1">
        <f t="array" ref="D41">GompMean(D27,0)/P13</f>
        <v>0.13242107269439998</v>
      </c>
      <c r="E41" s="2" cm="1">
        <f t="array" ref="E41">GompMean(E27,0)/Q13</f>
        <v>0.14382221847341695</v>
      </c>
      <c r="F41" s="2" cm="1">
        <f t="array" ref="F41">GompMean(F27,0)/R13</f>
        <v>0.15477573369827216</v>
      </c>
      <c r="G41" s="2" cm="1">
        <f t="array" ref="G41">GompMean(G27,0)/S13</f>
        <v>0.11525587652908197</v>
      </c>
      <c r="I41" s="2" cm="1">
        <f t="array" ref="I41">GompMean(I27,0)/O13</f>
        <v>0.11807838664887188</v>
      </c>
      <c r="J41" s="2" cm="1">
        <f t="array" ref="J41">GompMean(J27,0)/P13</f>
        <v>0.12808328127595983</v>
      </c>
      <c r="K41" s="2" cm="1">
        <f t="array" ref="K41">GompMean(K27,0)/Q13</f>
        <v>0.13853376148780891</v>
      </c>
      <c r="L41" s="2" cm="1">
        <f t="array" ref="L41">GompMean(L27,0)/R13</f>
        <v>0.14908422676482375</v>
      </c>
      <c r="M41" s="2" cm="1">
        <f t="array" ref="M41">GompMean(M27,0)/S13</f>
        <v>0.11465849401092512</v>
      </c>
    </row>
    <row r="42" spans="1:13" x14ac:dyDescent="0.3">
      <c r="A42">
        <f t="shared" si="2"/>
        <v>70</v>
      </c>
      <c r="C42" s="2" cm="1">
        <f t="array" ref="C42">GompMean(C28,0)/O14</f>
        <v>0.1350401685655041</v>
      </c>
      <c r="D42" s="2" cm="1">
        <f t="array" ref="D42">GompMean(D28,0)/P14</f>
        <v>0.14702513983651894</v>
      </c>
      <c r="E42" s="2" cm="1">
        <f t="array" ref="E42">GompMean(E28,0)/Q14</f>
        <v>0.15810740773932455</v>
      </c>
      <c r="F42" s="2" cm="1">
        <f t="array" ref="F42">GompMean(F28,0)/R14</f>
        <v>0.16785574376680026</v>
      </c>
      <c r="G42" s="2" cm="1">
        <f t="array" ref="G42">GompMean(G28,0)/S14</f>
        <v>0.12079814207702916</v>
      </c>
      <c r="I42" s="2" cm="1">
        <f t="array" ref="I42">GompMean(I28,0)/O14</f>
        <v>0.1337345121622793</v>
      </c>
      <c r="J42" s="2" cm="1">
        <f t="array" ref="J42">GompMean(J28,0)/P14</f>
        <v>0.14542684026662783</v>
      </c>
      <c r="K42" s="2" cm="1">
        <f t="array" ref="K42">GompMean(K28,0)/Q14</f>
        <v>0.1565953346229125</v>
      </c>
      <c r="L42" s="2" cm="1">
        <f t="array" ref="L42">GompMean(L28,0)/R14</f>
        <v>0.16682591232268126</v>
      </c>
      <c r="M42" s="2" cm="1">
        <f t="array" ref="M42">GompMean(M28,0)/S14</f>
        <v>0.12044309601166985</v>
      </c>
    </row>
    <row r="43" spans="1:13" x14ac:dyDescent="0.3">
      <c r="A43">
        <f t="shared" si="2"/>
        <v>80</v>
      </c>
      <c r="C43" s="2" cm="1">
        <f t="array" ref="C43">GompMean(C29,0)/O15</f>
        <v>0.14196639813985104</v>
      </c>
      <c r="D43" s="2" cm="1">
        <f t="array" ref="D43">GompMean(D29,0)/P15</f>
        <v>0.15239304269857881</v>
      </c>
      <c r="E43" s="2" cm="1">
        <f t="array" ref="E43">GompMean(E29,0)/Q15</f>
        <v>0.16136482597981119</v>
      </c>
      <c r="F43" s="2" cm="1">
        <f t="array" ref="F43">GompMean(F29,0)/R15</f>
        <v>0.16892166438956779</v>
      </c>
      <c r="G43" s="2" cm="1">
        <f t="array" ref="G43">GompMean(G29,0)/S15</f>
        <v>0.12430464311809558</v>
      </c>
      <c r="I43" s="2" cm="1">
        <f t="array" ref="I43">GompMean(I29,0)/O15</f>
        <v>0.14064930730750883</v>
      </c>
      <c r="J43" s="2" cm="1">
        <f t="array" ref="J43">GompMean(J29,0)/P15</f>
        <v>0.15117992802652702</v>
      </c>
      <c r="K43" s="2" cm="1">
        <f t="array" ref="K43">GompMean(K29,0)/Q15</f>
        <v>0.16047512254065774</v>
      </c>
      <c r="L43" s="2" cm="1">
        <f t="array" ref="L43">GompMean(L29,0)/R15</f>
        <v>0.16851914884626654</v>
      </c>
      <c r="M43" s="2" cm="1">
        <f t="array" ref="M43">GompMean(M29,0)/S15</f>
        <v>0.12291799194106758</v>
      </c>
    </row>
    <row r="44" spans="1:13" x14ac:dyDescent="0.3">
      <c r="A44">
        <f t="shared" si="2"/>
        <v>90</v>
      </c>
      <c r="C44" s="2" cm="1">
        <f t="array" ref="C44">GompMean(C30,0)/O16</f>
        <v>0.11941673812302736</v>
      </c>
      <c r="D44" s="2" cm="1">
        <f t="array" ref="D44">GompMean(D30,0)/P16</f>
        <v>0.1262468254273291</v>
      </c>
      <c r="E44" s="2" cm="1">
        <f t="array" ref="E44">GompMean(E30,0)/Q16</f>
        <v>0.1327395360458071</v>
      </c>
      <c r="F44" s="2" cm="1">
        <f t="array" ref="F44">GompMean(F30,0)/R16</f>
        <v>0.13878923219317993</v>
      </c>
      <c r="G44" s="2" cm="1">
        <f t="array" ref="G44">GompMean(G30,0)/S16</f>
        <v>9.9676144416305193E-2</v>
      </c>
      <c r="I44" s="2" cm="1">
        <f t="array" ref="I44">GompMean(I30,0)/O16</f>
        <v>0.11664293341106155</v>
      </c>
      <c r="J44" s="2" cm="1">
        <f t="array" ref="J44">GompMean(J30,0)/P16</f>
        <v>0.12325206438386177</v>
      </c>
      <c r="K44" s="2" cm="1">
        <f t="array" ref="K44">GompMean(K30,0)/Q16</f>
        <v>0.12956919684148363</v>
      </c>
      <c r="L44" s="2" cm="1">
        <f t="array" ref="L44">GompMean(L30,0)/R16</f>
        <v>0.13551202743752996</v>
      </c>
      <c r="M44" s="2" cm="1">
        <f t="array" ref="M44">GompMean(M30,0)/S16</f>
        <v>9.7132695024034599E-2</v>
      </c>
    </row>
    <row r="45" spans="1:13" x14ac:dyDescent="0.3">
      <c r="A45">
        <f t="shared" si="2"/>
        <v>100</v>
      </c>
      <c r="C45" s="2" cm="1">
        <f t="array" ref="C45">GompMean(C31,0)/O17</f>
        <v>8.5132924720098924E-2</v>
      </c>
      <c r="D45" s="2" cm="1">
        <f t="array" ref="D45">GompMean(D31,0)/P17</f>
        <v>8.7560258034926244E-2</v>
      </c>
      <c r="E45" s="2" cm="1">
        <f t="array" ref="E45">GompMean(E31,0)/Q17</f>
        <v>9.0576737070180907E-2</v>
      </c>
      <c r="F45" s="2" cm="1">
        <f t="array" ref="F45">GompMean(F31,0)/R17</f>
        <v>9.3933637497668726E-2</v>
      </c>
      <c r="G45" s="2" cm="1">
        <f t="array" ref="G45">GompMean(G31,0)/S17</f>
        <v>8.8935682624886006E-2</v>
      </c>
      <c r="I45" s="2" cm="1">
        <f t="array" ref="I45">GompMean(I31,0)/O17</f>
        <v>7.8682770842418523E-2</v>
      </c>
      <c r="J45" s="2" cm="1">
        <f t="array" ref="J45">GompMean(J31,0)/P17</f>
        <v>8.1819806618009944E-2</v>
      </c>
      <c r="K45" s="2" cm="1">
        <f t="array" ref="K45">GompMean(K31,0)/Q17</f>
        <v>8.5257637228884797E-2</v>
      </c>
      <c r="L45" s="2" cm="1">
        <f t="array" ref="L45">GompMean(L31,0)/R17</f>
        <v>8.8843244696875837E-2</v>
      </c>
      <c r="M45" s="2" cm="1">
        <f t="array" ref="M45">GompMean(M31,0)/S17</f>
        <v>7.6458158209372393E-2</v>
      </c>
    </row>
    <row r="47" spans="1:13" x14ac:dyDescent="0.3">
      <c r="C47" t="s">
        <v>96</v>
      </c>
      <c r="I47" t="s">
        <v>98</v>
      </c>
    </row>
    <row r="48" spans="1:13" x14ac:dyDescent="0.3">
      <c r="A48" t="s">
        <v>91</v>
      </c>
    </row>
    <row r="49" spans="1:13" x14ac:dyDescent="0.3">
      <c r="A49">
        <v>0</v>
      </c>
      <c r="F49" s="8">
        <f>$A49-LN(F21)/F35</f>
        <v>97.42047741025668</v>
      </c>
      <c r="G49" s="8">
        <f>$A49-LN(G21)/G35</f>
        <v>85.955805767605213</v>
      </c>
      <c r="L49" s="8">
        <f>$A49-LN(L21)/L35</f>
        <v>98.166667778864635</v>
      </c>
      <c r="M49" s="8">
        <f>$A49-LN(M21)/M35</f>
        <v>86.238141885874683</v>
      </c>
    </row>
    <row r="50" spans="1:13" x14ac:dyDescent="0.3">
      <c r="A50">
        <f>A49+10</f>
        <v>10</v>
      </c>
      <c r="F50" s="8">
        <f t="shared" ref="F50:G59" si="3">$A50-LN(F22)/F36</f>
        <v>97.482359280174705</v>
      </c>
      <c r="G50" s="8">
        <f t="shared" si="3"/>
        <v>86.017872390555823</v>
      </c>
      <c r="L50" s="8">
        <f t="shared" ref="L50:M59" si="4">$A50-LN(L22)/L36</f>
        <v>97.971181359341315</v>
      </c>
      <c r="M50" s="8">
        <f t="shared" si="4"/>
        <v>86.157010529011856</v>
      </c>
    </row>
    <row r="51" spans="1:13" x14ac:dyDescent="0.3">
      <c r="A51">
        <f t="shared" ref="A51:A59" si="5">A50+10</f>
        <v>20</v>
      </c>
      <c r="E51" s="8">
        <f t="shared" ref="E51" si="6">$A51-LN(E23)/E37</f>
        <v>95.869244431886841</v>
      </c>
      <c r="F51" s="8">
        <f t="shared" si="3"/>
        <v>97.495691357298199</v>
      </c>
      <c r="G51" s="8">
        <f t="shared" si="3"/>
        <v>86.035808306017017</v>
      </c>
      <c r="K51" s="8">
        <f t="shared" ref="K51" si="7">$A51-LN(K23)/K37</f>
        <v>96.307626715981229</v>
      </c>
      <c r="L51" s="8">
        <f t="shared" si="4"/>
        <v>97.94279098955019</v>
      </c>
      <c r="M51" s="8">
        <f t="shared" si="4"/>
        <v>86.149646268473205</v>
      </c>
    </row>
    <row r="52" spans="1:13" x14ac:dyDescent="0.3">
      <c r="A52">
        <f t="shared" si="5"/>
        <v>30</v>
      </c>
      <c r="E52" s="8">
        <f t="shared" ref="E52" si="8">$A52-LN(E24)/E38</f>
        <v>95.898872055921927</v>
      </c>
      <c r="F52" s="8">
        <f t="shared" si="3"/>
        <v>97.516134831221578</v>
      </c>
      <c r="G52" s="8">
        <f t="shared" si="3"/>
        <v>86.084201533916101</v>
      </c>
      <c r="K52" s="8">
        <f t="shared" ref="K52" si="9">$A52-LN(K24)/K38</f>
        <v>96.281459949291246</v>
      </c>
      <c r="L52" s="8">
        <f t="shared" si="4"/>
        <v>97.913506098688131</v>
      </c>
      <c r="M52" s="8">
        <f t="shared" si="4"/>
        <v>86.145309660430428</v>
      </c>
    </row>
    <row r="53" spans="1:13" x14ac:dyDescent="0.3">
      <c r="A53">
        <f t="shared" si="5"/>
        <v>40</v>
      </c>
      <c r="D53" s="8">
        <f t="shared" ref="D53:E53" si="10">$A53-LN(D25)/D39</f>
        <v>94.075639126892185</v>
      </c>
      <c r="E53" s="8">
        <f t="shared" si="10"/>
        <v>95.943644642389188</v>
      </c>
      <c r="F53" s="8">
        <f t="shared" si="3"/>
        <v>97.549063430094037</v>
      </c>
      <c r="G53" s="8">
        <f t="shared" si="3"/>
        <v>86.12260220006209</v>
      </c>
      <c r="J53" s="8">
        <f t="shared" ref="J53:K53" si="11">$A53-LN(J25)/J39</f>
        <v>94.348759156620034</v>
      </c>
      <c r="K53" s="8">
        <f t="shared" si="11"/>
        <v>96.26664465968733</v>
      </c>
      <c r="L53" s="8">
        <f t="shared" si="4"/>
        <v>97.888722679626454</v>
      </c>
      <c r="M53" s="8">
        <f t="shared" si="4"/>
        <v>86.156552262400325</v>
      </c>
    </row>
    <row r="54" spans="1:13" x14ac:dyDescent="0.3">
      <c r="A54">
        <f t="shared" si="5"/>
        <v>50</v>
      </c>
      <c r="D54" s="8">
        <f t="shared" ref="D54:E54" si="12">$A54-LN(D26)/D40</f>
        <v>94.205400906258404</v>
      </c>
      <c r="E54" s="8">
        <f t="shared" si="12"/>
        <v>96.044547775370646</v>
      </c>
      <c r="F54" s="8">
        <f t="shared" si="3"/>
        <v>97.624382049118452</v>
      </c>
      <c r="G54" s="8">
        <f t="shared" si="3"/>
        <v>86.161439345850752</v>
      </c>
      <c r="J54" s="8">
        <f t="shared" ref="J54:K54" si="13">$A54-LN(J26)/J40</f>
        <v>94.394416983942818</v>
      </c>
      <c r="K54" s="8">
        <f t="shared" si="13"/>
        <v>96.276313039292631</v>
      </c>
      <c r="L54" s="8">
        <f t="shared" si="4"/>
        <v>97.871529231353065</v>
      </c>
      <c r="M54" s="8">
        <f t="shared" si="4"/>
        <v>86.179660177513327</v>
      </c>
    </row>
    <row r="55" spans="1:13" x14ac:dyDescent="0.3">
      <c r="A55">
        <f t="shared" si="5"/>
        <v>60</v>
      </c>
      <c r="C55" s="8">
        <f t="shared" ref="C55" si="14">$A55-LN(C27)/C41</f>
        <v>92.363743904386752</v>
      </c>
      <c r="D55" s="8">
        <f t="shared" ref="D55:E55" si="15">$A55-LN(D27)/D41</f>
        <v>94.470676487452579</v>
      </c>
      <c r="E55" s="8">
        <f t="shared" si="15"/>
        <v>96.251092033273167</v>
      </c>
      <c r="F55" s="8">
        <f t="shared" si="3"/>
        <v>97.780558562538602</v>
      </c>
      <c r="G55" s="8">
        <f t="shared" si="3"/>
        <v>86.284376802148699</v>
      </c>
      <c r="I55" s="8">
        <f t="shared" ref="I55" si="16">$A55-LN(I27)/I41</f>
        <v>92.412968047770661</v>
      </c>
      <c r="J55" s="8">
        <f t="shared" ref="J55:K55" si="17">$A55-LN(J27)/J41</f>
        <v>94.556980256325318</v>
      </c>
      <c r="K55" s="8">
        <f t="shared" si="17"/>
        <v>96.361434571984006</v>
      </c>
      <c r="L55" s="8">
        <f t="shared" si="4"/>
        <v>97.896493410409434</v>
      </c>
      <c r="M55" s="8">
        <f t="shared" si="4"/>
        <v>86.285379762514708</v>
      </c>
    </row>
    <row r="56" spans="1:13" x14ac:dyDescent="0.3">
      <c r="A56">
        <f t="shared" si="5"/>
        <v>70</v>
      </c>
      <c r="C56" s="8">
        <f t="shared" ref="C56" si="18">$A56-LN(C28)/C42</f>
        <v>92.842887418281407</v>
      </c>
      <c r="D56" s="8">
        <f t="shared" ref="D56:E56" si="19">$A56-LN(D28)/D42</f>
        <v>94.83546818659272</v>
      </c>
      <c r="E56" s="8">
        <f t="shared" si="19"/>
        <v>96.520234562929261</v>
      </c>
      <c r="F56" s="8">
        <f t="shared" si="3"/>
        <v>97.974556586264583</v>
      </c>
      <c r="G56" s="8">
        <f t="shared" si="3"/>
        <v>86.582380181898145</v>
      </c>
      <c r="I56" s="8">
        <f t="shared" ref="I56" si="20">$A56-LN(I28)/I42</f>
        <v>92.845501629402307</v>
      </c>
      <c r="J56" s="8">
        <f t="shared" ref="J56:K56" si="21">$A56-LN(J28)/J42</f>
        <v>94.848874099669274</v>
      </c>
      <c r="K56" s="8">
        <f t="shared" si="21"/>
        <v>96.537727760801502</v>
      </c>
      <c r="L56" s="8">
        <f t="shared" si="4"/>
        <v>97.987932053882787</v>
      </c>
      <c r="M56" s="8">
        <f t="shared" si="4"/>
        <v>86.574010192362834</v>
      </c>
    </row>
    <row r="57" spans="1:13" x14ac:dyDescent="0.3">
      <c r="A57">
        <f t="shared" si="5"/>
        <v>80</v>
      </c>
      <c r="C57" s="8">
        <f t="shared" ref="C57" si="22">$A57-LN(C29)/C43</f>
        <v>93.088237963066433</v>
      </c>
      <c r="D57" s="8">
        <f t="shared" ref="D57:E57" si="23">$A57-LN(D29)/D43</f>
        <v>94.969883730830901</v>
      </c>
      <c r="E57" s="8">
        <f t="shared" si="23"/>
        <v>96.576302650310367</v>
      </c>
      <c r="F57" s="8">
        <f t="shared" si="3"/>
        <v>97.980224050631847</v>
      </c>
      <c r="G57" s="8">
        <f t="shared" si="3"/>
        <v>86.807193999471551</v>
      </c>
      <c r="I57" s="8">
        <f t="shared" ref="I57" si="24">$A57-LN(I29)/I43</f>
        <v>93.061233859670693</v>
      </c>
      <c r="J57" s="8">
        <f t="shared" ref="J57:K57" si="25">$A57-LN(J29)/J43</f>
        <v>94.957644905180985</v>
      </c>
      <c r="K57" s="8">
        <f t="shared" si="25"/>
        <v>96.573242033413322</v>
      </c>
      <c r="L57" s="8">
        <f t="shared" si="4"/>
        <v>97.98058739003001</v>
      </c>
      <c r="M57" s="8">
        <f t="shared" si="4"/>
        <v>86.722383086331575</v>
      </c>
    </row>
    <row r="58" spans="1:13" x14ac:dyDescent="0.3">
      <c r="A58">
        <f t="shared" si="5"/>
        <v>90</v>
      </c>
      <c r="C58" s="8">
        <f t="shared" ref="C58" si="26">$A58-LN(C30)/C44</f>
        <v>91.312602161929789</v>
      </c>
      <c r="D58" s="8">
        <f t="shared" ref="D58:E58" si="27">$A58-LN(D30)/D44</f>
        <v>93.352231435340073</v>
      </c>
      <c r="E58" s="8">
        <f t="shared" si="27"/>
        <v>95.147582743571078</v>
      </c>
      <c r="F58" s="8">
        <f t="shared" si="3"/>
        <v>96.735797257377214</v>
      </c>
      <c r="G58" s="8">
        <f t="shared" si="3"/>
        <v>83.144151049682478</v>
      </c>
      <c r="I58" s="8">
        <f t="shared" ref="I58" si="28">$A58-LN(I30)/I44</f>
        <v>91.037644041921567</v>
      </c>
      <c r="J58" s="8">
        <f t="shared" ref="J58:K58" si="29">$A58-LN(J30)/J44</f>
        <v>93.120634361870046</v>
      </c>
      <c r="K58" s="8">
        <f t="shared" si="29"/>
        <v>94.956001462491358</v>
      </c>
      <c r="L58" s="8">
        <f t="shared" si="4"/>
        <v>96.580817911814961</v>
      </c>
      <c r="M58" s="8">
        <f t="shared" si="4"/>
        <v>82.618323119530416</v>
      </c>
    </row>
    <row r="59" spans="1:13" x14ac:dyDescent="0.3">
      <c r="A59">
        <f t="shared" si="5"/>
        <v>100</v>
      </c>
      <c r="C59" s="8">
        <f t="shared" ref="C59" si="30">$A59-LN(C31)/C45</f>
        <v>84.055497413380337</v>
      </c>
      <c r="D59" s="8">
        <f t="shared" ref="D59:E59" si="31">$A59-LN(D31)/D45</f>
        <v>86.171057003262703</v>
      </c>
      <c r="E59" s="8">
        <f t="shared" si="31"/>
        <v>88.332358732246561</v>
      </c>
      <c r="F59" s="8">
        <f t="shared" si="3"/>
        <v>90.423973342198323</v>
      </c>
      <c r="G59" s="8">
        <f t="shared" si="3"/>
        <v>81.061752339643732</v>
      </c>
      <c r="I59" s="8">
        <f t="shared" ref="I59" si="32">$A59-LN(I31)/I45</f>
        <v>81.567561587493216</v>
      </c>
      <c r="J59" s="8">
        <f t="shared" ref="J59:K59" si="33">$A59-LN(J31)/J45</f>
        <v>84.205043374756372</v>
      </c>
      <c r="K59" s="8">
        <f t="shared" si="33"/>
        <v>86.733502556602105</v>
      </c>
      <c r="L59" s="8">
        <f t="shared" si="4"/>
        <v>89.088204947567533</v>
      </c>
      <c r="M59" s="8">
        <f t="shared" si="4"/>
        <v>75.729338275978975</v>
      </c>
    </row>
    <row r="60" spans="1:13" x14ac:dyDescent="0.3">
      <c r="G60" s="8"/>
    </row>
    <row r="61" spans="1:13" x14ac:dyDescent="0.3">
      <c r="G61" s="8"/>
    </row>
    <row r="62" spans="1:13" x14ac:dyDescent="0.3">
      <c r="G62" s="8"/>
    </row>
    <row r="63" spans="1:13" x14ac:dyDescent="0.3">
      <c r="G63" s="8"/>
    </row>
    <row r="64" spans="1:13" x14ac:dyDescent="0.3">
      <c r="G64" s="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CE1A5B1AF8224A93394D36B418C5F0" ma:contentTypeVersion="9" ma:contentTypeDescription="Create a new document." ma:contentTypeScope="" ma:versionID="aa119edfd13522ef86c8ebecc52b696b">
  <xsd:schema xmlns:xsd="http://www.w3.org/2001/XMLSchema" xmlns:xs="http://www.w3.org/2001/XMLSchema" xmlns:p="http://schemas.microsoft.com/office/2006/metadata/properties" xmlns:ns3="11bc0b86-ba7a-4a53-b24c-119250767bfe" targetNamespace="http://schemas.microsoft.com/office/2006/metadata/properties" ma:root="true" ma:fieldsID="4d1de2b0eddf90fc246b1e80b21db1af" ns3:_="">
    <xsd:import namespace="11bc0b86-ba7a-4a53-b24c-119250767bf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bc0b86-ba7a-4a53-b24c-119250767b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66DE15-FECF-4A0F-9807-C52861F9A92D}">
  <ds:schemaRefs>
    <ds:schemaRef ds:uri="http://purl.org/dc/dcmitype/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11bc0b86-ba7a-4a53-b24c-119250767bf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F011B39-1E3D-4580-9CEE-39CF69DDC9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bc0b86-ba7a-4a53-b24c-119250767b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56A2FD-3B64-42B8-8760-40BFA243CAF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ReadMe</vt:lpstr>
      <vt:lpstr>DensLorenzDat</vt:lpstr>
      <vt:lpstr>CrossDat</vt:lpstr>
      <vt:lpstr>AG2024</vt:lpstr>
      <vt:lpstr>ImpliedParas</vt:lpstr>
      <vt:lpstr>GompDensPic</vt:lpstr>
      <vt:lpstr>LorenzCurvePic</vt:lpstr>
      <vt:lpstr>MomentShapes</vt:lpstr>
      <vt:lpstr>LMomentShapes</vt:lpstr>
      <vt:lpstr>GompCross1</vt:lpstr>
      <vt:lpstr>GompCross2</vt:lpstr>
      <vt:lpstr>GompCross3</vt:lpstr>
      <vt:lpstr>FatiguePic</vt:lpstr>
      <vt:lpstr>CriticalPointList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Smith</dc:creator>
  <cp:lastModifiedBy>Andrew Smith</cp:lastModifiedBy>
  <cp:lastPrinted>2025-04-22T10:18:07Z</cp:lastPrinted>
  <dcterms:created xsi:type="dcterms:W3CDTF">2025-04-12T15:22:22Z</dcterms:created>
  <dcterms:modified xsi:type="dcterms:W3CDTF">2025-05-20T16:54:38Z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0x01010026CE1A5B1AF8224A93394D36B418C5F0</vt:lpwstr>
  </property>
</Properties>
</file>